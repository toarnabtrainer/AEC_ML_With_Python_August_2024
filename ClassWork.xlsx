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b\AEC ML with Python Aug 2024\"/>
    </mc:Choice>
  </mc:AlternateContent>
  <xr:revisionPtr revIDLastSave="0" documentId="13_ncr:1_{8348042B-4E87-4F54-856A-8465F5B07298}" xr6:coauthVersionLast="47" xr6:coauthVersionMax="47" xr10:uidLastSave="{00000000-0000-0000-0000-000000000000}"/>
  <bookViews>
    <workbookView xWindow="-108" yWindow="-108" windowWidth="23256" windowHeight="12576" activeTab="1" xr2:uid="{CC0A2C49-1E89-4FB2-8D30-94BE6106F629}"/>
  </bookViews>
  <sheets>
    <sheet name="Correlation and Regression" sheetId="1" r:id="rId1"/>
    <sheet name="Decision Tree" sheetId="3" r:id="rId2"/>
    <sheet name="K-NN" sheetId="5" r:id="rId3"/>
    <sheet name="K-NN (Iris)" sheetId="4" r:id="rId4"/>
    <sheet name="K-Means Clustering" sheetId="6" r:id="rId5"/>
    <sheet name="Sheet2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3" l="1"/>
  <c r="I59" i="3"/>
  <c r="K53" i="3" l="1"/>
  <c r="K52" i="3"/>
  <c r="K50" i="3"/>
  <c r="L50" i="3" s="1"/>
  <c r="K49" i="3"/>
  <c r="L49" i="3" s="1"/>
  <c r="L47" i="3"/>
  <c r="K47" i="3"/>
  <c r="K46" i="3"/>
  <c r="L46" i="3" s="1"/>
  <c r="K37" i="3"/>
  <c r="L37" i="3" s="1"/>
  <c r="L36" i="3"/>
  <c r="K36" i="3"/>
  <c r="K34" i="3"/>
  <c r="K33" i="3"/>
  <c r="K31" i="3"/>
  <c r="K30" i="3"/>
  <c r="L30" i="3" s="1"/>
  <c r="K29" i="3"/>
  <c r="K25" i="3"/>
  <c r="L25" i="3" s="1"/>
  <c r="L24" i="3"/>
  <c r="K24" i="3"/>
  <c r="K22" i="3"/>
  <c r="L22" i="3" s="1"/>
  <c r="K21" i="3"/>
  <c r="D21" i="3"/>
  <c r="D20" i="3"/>
  <c r="K19" i="3"/>
  <c r="L19" i="3" s="1"/>
  <c r="D19" i="3"/>
  <c r="K18" i="3"/>
  <c r="L18" i="3" s="1"/>
  <c r="K17" i="3"/>
  <c r="L17" i="3" s="1"/>
  <c r="K15" i="3"/>
  <c r="L15" i="3" s="1"/>
  <c r="K14" i="3"/>
  <c r="L13" i="3"/>
  <c r="K13" i="3"/>
  <c r="J11" i="3"/>
  <c r="I11" i="3"/>
  <c r="L11" i="3" l="1"/>
  <c r="L21" i="3"/>
  <c r="K11" i="3"/>
  <c r="N51" i="3" l="1"/>
  <c r="M35" i="3"/>
  <c r="N35" i="3" s="1"/>
  <c r="M23" i="3"/>
  <c r="N23" i="3" s="1"/>
  <c r="M12" i="3"/>
  <c r="N12" i="3" s="1"/>
  <c r="M16" i="3"/>
  <c r="N16" i="3" s="1"/>
  <c r="M45" i="3"/>
  <c r="N45" i="3" s="1"/>
  <c r="M28" i="3"/>
  <c r="N28" i="3" s="1"/>
  <c r="M48" i="3"/>
  <c r="N48" i="3" s="1"/>
  <c r="M32" i="3"/>
  <c r="N32" i="3" s="1"/>
  <c r="M51" i="3"/>
  <c r="M20" i="3"/>
  <c r="N20" i="3" s="1"/>
  <c r="F14" i="1" l="1"/>
  <c r="F15" i="1"/>
  <c r="F16" i="1"/>
  <c r="C20" i="1"/>
  <c r="C19" i="1"/>
  <c r="C18" i="1"/>
  <c r="C17" i="1"/>
  <c r="C16" i="1"/>
  <c r="C15" i="1"/>
  <c r="C14" i="1"/>
  <c r="C13" i="1"/>
  <c r="C11" i="1"/>
  <c r="D11" i="1"/>
  <c r="E11" i="1"/>
  <c r="F11" i="1"/>
  <c r="G11" i="1"/>
  <c r="G5" i="1"/>
  <c r="G6" i="1"/>
  <c r="G7" i="1"/>
  <c r="G8" i="1"/>
  <c r="G9" i="1"/>
  <c r="G10" i="1"/>
  <c r="G4" i="1"/>
  <c r="F5" i="1"/>
  <c r="F6" i="1"/>
  <c r="F7" i="1"/>
  <c r="F8" i="1"/>
  <c r="F9" i="1"/>
  <c r="F10" i="1"/>
  <c r="F4" i="1"/>
  <c r="E5" i="1"/>
  <c r="E6" i="1"/>
  <c r="E7" i="1"/>
  <c r="E8" i="1"/>
  <c r="E9" i="1"/>
  <c r="E10" i="1"/>
  <c r="E4" i="1"/>
</calcChain>
</file>

<file path=xl/sharedStrings.xml><?xml version="1.0" encoding="utf-8"?>
<sst xmlns="http://schemas.openxmlformats.org/spreadsheetml/2006/main" count="595" uniqueCount="129">
  <si>
    <t>Student</t>
  </si>
  <si>
    <t>x</t>
  </si>
  <si>
    <t>y</t>
  </si>
  <si>
    <t>A</t>
  </si>
  <si>
    <t>B</t>
  </si>
  <si>
    <t>C</t>
  </si>
  <si>
    <t>D</t>
  </si>
  <si>
    <t>E</t>
  </si>
  <si>
    <t>F</t>
  </si>
  <si>
    <t>G</t>
  </si>
  <si>
    <t>y^2</t>
  </si>
  <si>
    <t>x.y</t>
  </si>
  <si>
    <t>x^2</t>
  </si>
  <si>
    <t>n =</t>
  </si>
  <si>
    <t>r =</t>
  </si>
  <si>
    <t>a =</t>
  </si>
  <si>
    <t>b =</t>
  </si>
  <si>
    <t>y' = a + bx</t>
  </si>
  <si>
    <t>intercept</t>
  </si>
  <si>
    <t>slope</t>
  </si>
  <si>
    <t>r^2 =</t>
  </si>
  <si>
    <t>test x</t>
  </si>
  <si>
    <t>y'</t>
  </si>
  <si>
    <t>Day</t>
  </si>
  <si>
    <t>Outlook</t>
  </si>
  <si>
    <t>Temperature</t>
  </si>
  <si>
    <t>Humidity</t>
  </si>
  <si>
    <t>Wind</t>
  </si>
  <si>
    <t>Play</t>
  </si>
  <si>
    <t>Outlook X[0]</t>
  </si>
  <si>
    <t>Temperature X[1]</t>
  </si>
  <si>
    <t>Humidity X[2]</t>
  </si>
  <si>
    <t>Wind X[3]</t>
  </si>
  <si>
    <t>Play y</t>
  </si>
  <si>
    <t>Sunny</t>
  </si>
  <si>
    <t>Hot</t>
  </si>
  <si>
    <t>High</t>
  </si>
  <si>
    <t>Weak</t>
  </si>
  <si>
    <t>No</t>
  </si>
  <si>
    <t>Sunny - 2</t>
  </si>
  <si>
    <t>Hot - 1</t>
  </si>
  <si>
    <t>High - 0</t>
  </si>
  <si>
    <t>Weak - 1</t>
  </si>
  <si>
    <t>No - 0</t>
  </si>
  <si>
    <t>Strong</t>
  </si>
  <si>
    <t>Strong - 0</t>
  </si>
  <si>
    <t>Overcast</t>
  </si>
  <si>
    <t>Yes</t>
  </si>
  <si>
    <t>Overcast - 0</t>
  </si>
  <si>
    <t>Yes - 1</t>
  </si>
  <si>
    <t>Rain</t>
  </si>
  <si>
    <t>Mild</t>
  </si>
  <si>
    <t>Rain - 1</t>
  </si>
  <si>
    <t>Mild - 2</t>
  </si>
  <si>
    <t>Cool</t>
  </si>
  <si>
    <t>Normal</t>
  </si>
  <si>
    <t>Cool - 0</t>
  </si>
  <si>
    <t>Normal - 1</t>
  </si>
  <si>
    <t>p</t>
  </si>
  <si>
    <t>n</t>
  </si>
  <si>
    <t>p + n</t>
  </si>
  <si>
    <t xml:space="preserve">Information Gain I(p,n) </t>
  </si>
  <si>
    <t>Entropy</t>
  </si>
  <si>
    <t>Gain</t>
  </si>
  <si>
    <t>Yes Count (p) =</t>
  </si>
  <si>
    <t>No Count (n) =</t>
  </si>
  <si>
    <t>Total rows =</t>
  </si>
  <si>
    <t>Sunny-Temp</t>
  </si>
  <si>
    <t>Sunny-Humd</t>
  </si>
  <si>
    <t>Sunny-Wind</t>
  </si>
  <si>
    <t>Rain-Temp</t>
  </si>
  <si>
    <t>Rain-Humd.</t>
  </si>
  <si>
    <t>Rain-Wind</t>
  </si>
  <si>
    <t>Gini Index</t>
  </si>
  <si>
    <t>Algo / Split Criterion</t>
  </si>
  <si>
    <t>Description</t>
  </si>
  <si>
    <t>Tree Type</t>
  </si>
  <si>
    <t>Gini Split / Gini Index</t>
  </si>
  <si>
    <t>Favours larger partitions. Very simple to implement.</t>
  </si>
  <si>
    <t>CART</t>
  </si>
  <si>
    <t>Total</t>
  </si>
  <si>
    <t>Information Gain / Entropy</t>
  </si>
  <si>
    <t>Favours partitions that have small counts but many distinct values.</t>
  </si>
  <si>
    <t> ID3 / C4.5</t>
  </si>
  <si>
    <t>gini = 0.392</t>
  </si>
  <si>
    <t>Classification &amp; Regression Trees (CART)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</si>
  <si>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Favours larger partitions.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</si>
  <si>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Uses squared proportion of classes.</t>
    </r>
  </si>
  <si>
    <t>Rows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</si>
  <si>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Perfectly classified, Gini Index would be zero.</t>
    </r>
  </si>
  <si>
    <t>Serial</t>
  </si>
  <si>
    <t>sepal_length</t>
  </si>
  <si>
    <t>sepal_width</t>
  </si>
  <si>
    <t>petal_length</t>
  </si>
  <si>
    <t>petal_width</t>
  </si>
  <si>
    <t>species</t>
  </si>
  <si>
    <t>Euclidean
Distance</t>
  </si>
  <si>
    <t>Rank</t>
  </si>
  <si>
    <t>Manhattan
Distance</t>
  </si>
  <si>
    <t>Rank2</t>
  </si>
  <si>
    <t>setosa</t>
  </si>
  <si>
    <t>Test Row</t>
  </si>
  <si>
    <t>Species</t>
  </si>
  <si>
    <t>K = 5</t>
  </si>
  <si>
    <t>versicolor</t>
  </si>
  <si>
    <t>virginica</t>
  </si>
  <si>
    <t>No.</t>
  </si>
  <si>
    <t>Sepal_length</t>
  </si>
  <si>
    <t>Sepal_width</t>
  </si>
  <si>
    <t>Distance</t>
  </si>
  <si>
    <t>Var-1</t>
  </si>
  <si>
    <t>Var-2</t>
  </si>
  <si>
    <t>From C1-1</t>
  </si>
  <si>
    <t>From C2-1</t>
  </si>
  <si>
    <t>Cluster</t>
  </si>
  <si>
    <t>From C1-2</t>
  </si>
  <si>
    <t>From C2-2</t>
  </si>
  <si>
    <t>From C1-3</t>
  </si>
  <si>
    <t>From C2-3</t>
  </si>
  <si>
    <t>C1-1</t>
  </si>
  <si>
    <t>C2-1</t>
  </si>
  <si>
    <t>C1-2</t>
  </si>
  <si>
    <t>C2-2</t>
  </si>
  <si>
    <t>C1-3</t>
  </si>
  <si>
    <t>C2-3</t>
  </si>
  <si>
    <t>New Data Point</t>
  </si>
  <si>
    <t>From C1</t>
  </si>
  <si>
    <t>From C2</t>
  </si>
  <si>
    <t>Cluster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</si>
</sst>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4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1" applyFont="1" applyAlignment="1">
      <alignment horizontal="left"/>
    </xf>
    <xf numFmtId="0" fontId="2" fillId="0" borderId="0" xfId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2" fillId="0" borderId="6" xfId="1" applyBorder="1" applyAlignment="1">
      <alignment horizontal="left"/>
    </xf>
    <xf numFmtId="0" fontId="2" fillId="2" borderId="7" xfId="1" applyFill="1" applyBorder="1" applyAlignment="1">
      <alignment horizontal="left"/>
    </xf>
    <xf numFmtId="0" fontId="3" fillId="0" borderId="8" xfId="1" applyFont="1" applyBorder="1" applyAlignment="1">
      <alignment horizontal="left"/>
    </xf>
    <xf numFmtId="0" fontId="2" fillId="0" borderId="9" xfId="1" applyBorder="1" applyAlignment="1">
      <alignment horizontal="left"/>
    </xf>
    <xf numFmtId="0" fontId="4" fillId="0" borderId="0" xfId="1" applyFont="1" applyAlignment="1">
      <alignment horizontal="left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" fillId="0" borderId="8" xfId="1" applyFont="1" applyBorder="1"/>
    <xf numFmtId="0" fontId="3" fillId="2" borderId="1" xfId="1" applyFont="1" applyFill="1" applyBorder="1"/>
    <xf numFmtId="0" fontId="3" fillId="0" borderId="10" xfId="1" applyFont="1" applyBorder="1"/>
    <xf numFmtId="0" fontId="2" fillId="0" borderId="5" xfId="1" applyBorder="1" applyAlignment="1">
      <alignment horizontal="left"/>
    </xf>
    <xf numFmtId="0" fontId="2" fillId="0" borderId="4" xfId="1" applyBorder="1" applyAlignment="1">
      <alignment horizontal="left"/>
    </xf>
    <xf numFmtId="0" fontId="3" fillId="0" borderId="0" xfId="1" applyFont="1"/>
    <xf numFmtId="0" fontId="4" fillId="0" borderId="11" xfId="1" applyFont="1" applyBorder="1" applyAlignment="1">
      <alignment horizontal="center"/>
    </xf>
    <xf numFmtId="0" fontId="2" fillId="0" borderId="6" xfId="1" applyBorder="1"/>
    <xf numFmtId="0" fontId="2" fillId="0" borderId="7" xfId="1" applyBorder="1" applyAlignment="1">
      <alignment horizontal="left"/>
    </xf>
    <xf numFmtId="0" fontId="2" fillId="2" borderId="9" xfId="1" applyFill="1" applyBorder="1" applyAlignment="1">
      <alignment horizontal="left"/>
    </xf>
    <xf numFmtId="0" fontId="2" fillId="0" borderId="5" xfId="1" applyBorder="1"/>
    <xf numFmtId="0" fontId="6" fillId="3" borderId="12" xfId="1" applyFont="1" applyFill="1" applyBorder="1" applyAlignment="1">
      <alignment vertical="center" wrapText="1"/>
    </xf>
    <xf numFmtId="0" fontId="7" fillId="3" borderId="12" xfId="1" applyFont="1" applyFill="1" applyBorder="1" applyAlignment="1">
      <alignment vertical="center" wrapText="1"/>
    </xf>
    <xf numFmtId="0" fontId="7" fillId="4" borderId="12" xfId="1" applyFont="1" applyFill="1" applyBorder="1" applyAlignment="1">
      <alignment vertical="center" wrapText="1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left" vertical="center" indent="2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" fillId="0" borderId="17" xfId="1" applyBorder="1"/>
    <xf numFmtId="164" fontId="2" fillId="0" borderId="18" xfId="1" applyNumberFormat="1" applyBorder="1"/>
    <xf numFmtId="164" fontId="2" fillId="0" borderId="19" xfId="1" applyNumberFormat="1" applyBorder="1"/>
    <xf numFmtId="0" fontId="2" fillId="0" borderId="20" xfId="1" applyBorder="1"/>
    <xf numFmtId="165" fontId="2" fillId="0" borderId="18" xfId="1" applyNumberFormat="1" applyBorder="1"/>
    <xf numFmtId="2" fontId="2" fillId="0" borderId="21" xfId="1" applyNumberFormat="1" applyBorder="1"/>
    <xf numFmtId="0" fontId="2" fillId="0" borderId="22" xfId="1" applyBorder="1"/>
    <xf numFmtId="0" fontId="12" fillId="0" borderId="5" xfId="1" applyFont="1" applyBorder="1" applyAlignment="1">
      <alignment horizontal="center"/>
    </xf>
    <xf numFmtId="0" fontId="2" fillId="0" borderId="23" xfId="1" applyBorder="1"/>
    <xf numFmtId="164" fontId="2" fillId="0" borderId="24" xfId="1" applyNumberFormat="1" applyBorder="1"/>
    <xf numFmtId="164" fontId="2" fillId="0" borderId="12" xfId="1" applyNumberFormat="1" applyBorder="1"/>
    <xf numFmtId="0" fontId="2" fillId="0" borderId="25" xfId="1" applyBorder="1"/>
    <xf numFmtId="165" fontId="2" fillId="0" borderId="24" xfId="1" applyNumberFormat="1" applyBorder="1"/>
    <xf numFmtId="0" fontId="2" fillId="0" borderId="26" xfId="1" applyBorder="1"/>
    <xf numFmtId="0" fontId="2" fillId="0" borderId="27" xfId="1" applyBorder="1"/>
    <xf numFmtId="0" fontId="3" fillId="0" borderId="28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2" fillId="0" borderId="31" xfId="1" applyBorder="1"/>
    <xf numFmtId="0" fontId="2" fillId="0" borderId="32" xfId="1" applyBorder="1"/>
    <xf numFmtId="0" fontId="2" fillId="0" borderId="33" xfId="1" applyBorder="1"/>
    <xf numFmtId="0" fontId="2" fillId="0" borderId="1" xfId="1" applyBorder="1"/>
    <xf numFmtId="0" fontId="3" fillId="0" borderId="0" xfId="1" applyFont="1" applyAlignment="1">
      <alignment horizontal="center"/>
    </xf>
    <xf numFmtId="0" fontId="2" fillId="0" borderId="34" xfId="1" applyBorder="1"/>
    <xf numFmtId="164" fontId="2" fillId="0" borderId="35" xfId="1" applyNumberFormat="1" applyBorder="1"/>
    <xf numFmtId="164" fontId="2" fillId="0" borderId="36" xfId="1" applyNumberFormat="1" applyBorder="1"/>
    <xf numFmtId="0" fontId="2" fillId="0" borderId="37" xfId="1" applyBorder="1"/>
    <xf numFmtId="165" fontId="2" fillId="0" borderId="35" xfId="1" applyNumberFormat="1" applyBorder="1"/>
    <xf numFmtId="0" fontId="2" fillId="0" borderId="38" xfId="1" applyBorder="1"/>
    <xf numFmtId="0" fontId="2" fillId="0" borderId="39" xfId="1" applyBorder="1"/>
    <xf numFmtId="0" fontId="2" fillId="0" borderId="23" xfId="1" applyBorder="1" applyAlignment="1">
      <alignment vertical="center"/>
    </xf>
    <xf numFmtId="164" fontId="2" fillId="0" borderId="24" xfId="1" applyNumberFormat="1" applyBorder="1" applyAlignment="1">
      <alignment vertical="center"/>
    </xf>
    <xf numFmtId="164" fontId="2" fillId="0" borderId="12" xfId="1" applyNumberFormat="1" applyBorder="1" applyAlignment="1">
      <alignment vertical="center"/>
    </xf>
    <xf numFmtId="0" fontId="2" fillId="0" borderId="25" xfId="1" applyBorder="1" applyAlignment="1">
      <alignment vertical="center"/>
    </xf>
    <xf numFmtId="165" fontId="2" fillId="0" borderId="24" xfId="1" applyNumberFormat="1" applyBorder="1" applyAlignment="1">
      <alignment vertical="center"/>
    </xf>
    <xf numFmtId="0" fontId="2" fillId="0" borderId="26" xfId="1" applyBorder="1" applyAlignment="1">
      <alignment vertical="center"/>
    </xf>
    <xf numFmtId="0" fontId="2" fillId="0" borderId="27" xfId="1" applyBorder="1" applyAlignment="1">
      <alignment vertical="center"/>
    </xf>
    <xf numFmtId="0" fontId="2" fillId="0" borderId="0" xfId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 wrapText="1"/>
    </xf>
    <xf numFmtId="0" fontId="12" fillId="0" borderId="0" xfId="1" applyFont="1" applyAlignment="1">
      <alignment horizontal="center"/>
    </xf>
    <xf numFmtId="0" fontId="2" fillId="0" borderId="43" xfId="1" applyBorder="1"/>
    <xf numFmtId="164" fontId="2" fillId="0" borderId="44" xfId="1" applyNumberFormat="1" applyBorder="1"/>
    <xf numFmtId="164" fontId="2" fillId="0" borderId="45" xfId="1" applyNumberFormat="1" applyBorder="1"/>
    <xf numFmtId="0" fontId="2" fillId="0" borderId="46" xfId="1" applyBorder="1"/>
    <xf numFmtId="165" fontId="2" fillId="0" borderId="43" xfId="1" applyNumberFormat="1" applyBorder="1"/>
    <xf numFmtId="0" fontId="2" fillId="0" borderId="47" xfId="1" applyBorder="1"/>
    <xf numFmtId="0" fontId="2" fillId="0" borderId="48" xfId="1" applyBorder="1"/>
    <xf numFmtId="164" fontId="2" fillId="0" borderId="26" xfId="1" applyNumberFormat="1" applyBorder="1"/>
    <xf numFmtId="165" fontId="2" fillId="0" borderId="49" xfId="1" applyNumberFormat="1" applyBorder="1"/>
    <xf numFmtId="0" fontId="2" fillId="0" borderId="50" xfId="1" applyBorder="1"/>
    <xf numFmtId="0" fontId="13" fillId="5" borderId="0" xfId="1" applyFont="1" applyFill="1"/>
    <xf numFmtId="0" fontId="2" fillId="0" borderId="51" xfId="1" applyBorder="1"/>
    <xf numFmtId="164" fontId="2" fillId="0" borderId="52" xfId="1" applyNumberFormat="1" applyBorder="1"/>
    <xf numFmtId="164" fontId="2" fillId="0" borderId="53" xfId="1" applyNumberFormat="1" applyBorder="1"/>
    <xf numFmtId="0" fontId="2" fillId="0" borderId="54" xfId="1" applyBorder="1"/>
    <xf numFmtId="165" fontId="2" fillId="0" borderId="3" xfId="1" applyNumberFormat="1" applyBorder="1"/>
    <xf numFmtId="0" fontId="2" fillId="0" borderId="55" xfId="1" applyBorder="1"/>
    <xf numFmtId="0" fontId="3" fillId="0" borderId="56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2" fillId="0" borderId="57" xfId="1" applyBorder="1" applyAlignment="1">
      <alignment horizontal="center"/>
    </xf>
    <xf numFmtId="2" fontId="2" fillId="0" borderId="8" xfId="1" applyNumberFormat="1" applyBorder="1"/>
    <xf numFmtId="2" fontId="2" fillId="0" borderId="0" xfId="1" applyNumberFormat="1"/>
    <xf numFmtId="0" fontId="2" fillId="0" borderId="40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2" fillId="0" borderId="3" xfId="1" applyBorder="1" applyAlignment="1">
      <alignment horizontal="center"/>
    </xf>
    <xf numFmtId="2" fontId="2" fillId="0" borderId="10" xfId="1" applyNumberFormat="1" applyBorder="1"/>
    <xf numFmtId="2" fontId="2" fillId="0" borderId="5" xfId="1" applyNumberFormat="1" applyBorder="1"/>
    <xf numFmtId="0" fontId="2" fillId="0" borderId="10" xfId="1" applyBorder="1"/>
    <xf numFmtId="0" fontId="2" fillId="0" borderId="4" xfId="1" applyBorder="1"/>
    <xf numFmtId="0" fontId="3" fillId="0" borderId="40" xfId="1" applyFont="1" applyBorder="1"/>
    <xf numFmtId="2" fontId="2" fillId="0" borderId="40" xfId="1" applyNumberFormat="1" applyBorder="1"/>
    <xf numFmtId="2" fontId="2" fillId="0" borderId="7" xfId="1" applyNumberFormat="1" applyBorder="1"/>
    <xf numFmtId="2" fontId="2" fillId="0" borderId="4" xfId="1" applyNumberFormat="1" applyBorder="1"/>
    <xf numFmtId="2" fontId="2" fillId="0" borderId="9" xfId="1" applyNumberFormat="1" applyBorder="1"/>
    <xf numFmtId="0" fontId="3" fillId="0" borderId="0" xfId="1" applyFont="1" applyAlignment="1">
      <alignment horizontal="center"/>
    </xf>
    <xf numFmtId="0" fontId="3" fillId="0" borderId="40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28" xfId="1" applyBorder="1"/>
    <xf numFmtId="0" fontId="2" fillId="0" borderId="29" xfId="1" applyBorder="1"/>
    <xf numFmtId="0" fontId="2" fillId="0" borderId="30" xfId="1" applyBorder="1"/>
  </cellXfs>
  <cellStyles count="2">
    <cellStyle name="Normal" xfId="0" builtinId="0"/>
    <cellStyle name="Normal 2" xfId="1" xr:uid="{D0C543C4-755D-4B4D-8F37-86745C79D7A5}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Scatter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Attendance vs. Grade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494143303278145E-2"/>
                  <c:y val="-0.39508286687258426"/>
                </c:manualLayout>
              </c:layout>
              <c:numFmt formatCode="General" sourceLinked="0"/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and Regression'!$C$4:$C$10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and Regression'!$D$4:$D$10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6-45E6-A1EC-4BE1ADB7409F}"/>
            </c:ext>
          </c:extLst>
        </c:ser>
        <c:ser>
          <c:idx val="1"/>
          <c:order val="1"/>
          <c:tx>
            <c:v>Test Data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alpha val="60000"/>
                  </a:schemeClr>
                </a:solidFill>
              </a:ln>
              <a:effectLst/>
            </c:spPr>
          </c:marker>
          <c:xVal>
            <c:numRef>
              <c:f>'Correlation and Regression'!$E$14:$E$16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14</c:v>
                </c:pt>
              </c:numCache>
            </c:numRef>
          </c:xVal>
          <c:yVal>
            <c:numRef>
              <c:f>'Correlation and Regression'!$F$14:$F$16</c:f>
              <c:numCache>
                <c:formatCode>General</c:formatCode>
                <c:ptCount val="3"/>
                <c:pt idx="0">
                  <c:v>66.273631840796014</c:v>
                </c:pt>
                <c:pt idx="1">
                  <c:v>62.651741293532332</c:v>
                </c:pt>
                <c:pt idx="2">
                  <c:v>51.786069651741286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96-45E6-A1EC-4BE1ADB74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198544"/>
        <c:axId val="638199024"/>
      </c:scatterChart>
      <c:valAx>
        <c:axId val="63819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Absence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99024"/>
        <c:crosses val="autoZero"/>
        <c:crossBetween val="midCat"/>
      </c:valAx>
      <c:valAx>
        <c:axId val="63819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19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36787</xdr:colOff>
      <xdr:row>1</xdr:row>
      <xdr:rowOff>84081</xdr:rowOff>
    </xdr:from>
    <xdr:to>
      <xdr:col>15</xdr:col>
      <xdr:colOff>496613</xdr:colOff>
      <xdr:row>16</xdr:row>
      <xdr:rowOff>110359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72979-E7B4-456B-2AB1-D7E11FFFA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0</xdr:row>
      <xdr:rowOff>63500</xdr:rowOff>
    </xdr:from>
    <xdr:to>
      <xdr:col>18</xdr:col>
      <xdr:colOff>162360</xdr:colOff>
      <xdr:row>7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2988E-012A-470E-AB57-6030C2C9B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199" y="63500"/>
          <a:ext cx="8341161" cy="15756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391583</xdr:colOff>
      <xdr:row>11</xdr:row>
      <xdr:rowOff>95251</xdr:rowOff>
    </xdr:from>
    <xdr:to>
      <xdr:col>20</xdr:col>
      <xdr:colOff>89959</xdr:colOff>
      <xdr:row>15</xdr:row>
      <xdr:rowOff>219076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1AF39-7B0D-4977-A84B-B2A7F768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8183" y="2594611"/>
          <a:ext cx="4117976" cy="10687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158751</xdr:colOff>
      <xdr:row>26</xdr:row>
      <xdr:rowOff>232834</xdr:rowOff>
    </xdr:from>
    <xdr:to>
      <xdr:col>20</xdr:col>
      <xdr:colOff>619127</xdr:colOff>
      <xdr:row>37</xdr:row>
      <xdr:rowOff>40217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4CBA4D-18C7-4E10-B7A5-6CDD208C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5351" y="5985934"/>
          <a:ext cx="4879976" cy="221530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222249</xdr:colOff>
      <xdr:row>44</xdr:row>
      <xdr:rowOff>21166</xdr:rowOff>
    </xdr:from>
    <xdr:to>
      <xdr:col>20</xdr:col>
      <xdr:colOff>663575</xdr:colOff>
      <xdr:row>54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283617-6D28-4FD9-9AC2-981FC410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8849" y="9790006"/>
          <a:ext cx="4860926" cy="221593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11</xdr:col>
      <xdr:colOff>21166</xdr:colOff>
      <xdr:row>56</xdr:row>
      <xdr:rowOff>31750</xdr:rowOff>
    </xdr:from>
    <xdr:to>
      <xdr:col>18</xdr:col>
      <xdr:colOff>16932</xdr:colOff>
      <xdr:row>65</xdr:row>
      <xdr:rowOff>68471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AE5078-539D-42F5-A25D-06CE0730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606" y="12330430"/>
          <a:ext cx="5619326" cy="216270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575310</xdr:colOff>
      <xdr:row>58</xdr:row>
      <xdr:rowOff>148982</xdr:rowOff>
    </xdr:to>
    <xdr:pic>
      <xdr:nvPicPr>
        <xdr:cNvPr id="7" name="Picture 6" descr="Gini Index Calculation">
          <a:extLst>
            <a:ext uri="{FF2B5EF4-FFF2-40B4-BE49-F238E27FC236}">
              <a16:creationId xmlns:a16="http://schemas.microsoft.com/office/drawing/2014/main" id="{4DE034D8-359C-4CCB-A11D-26A9C104B6C7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15800"/>
          <a:ext cx="2922270" cy="8652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8FD13-BE45-427B-A3C4-BE87BF1D3F1B}" name="Table1" displayName="Table1" ref="A1:J151" totalsRowShown="0" tableBorderDxfId="10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0D4D47A2-5D8F-440F-8CE6-FF166120942A}" name="Serial" dataDxfId="9"/>
    <tableColumn id="2" xr3:uid="{ECD2069B-9DAB-4B12-AFB5-83EEF9A24C1B}" name="sepal_length" dataDxfId="8"/>
    <tableColumn id="3" xr3:uid="{F26C59F8-5398-44AA-82A0-D4362AC0FBAD}" name="sepal_width" dataDxfId="7"/>
    <tableColumn id="4" xr3:uid="{5DE47E92-BB2D-422D-8F3E-87CBFDF254F2}" name="petal_length" dataDxfId="6"/>
    <tableColumn id="5" xr3:uid="{8CBC433B-ABC1-4D53-BFA1-249150CA9CB2}" name="petal_width" dataDxfId="5"/>
    <tableColumn id="6" xr3:uid="{313CD7FA-7FF1-4485-9C56-02D6805B8924}" name="species" dataDxfId="4"/>
    <tableColumn id="7" xr3:uid="{3D93AF90-F9A1-4F0C-BAD2-C6337AB13AEC}" name="Euclidean_x000a_Distance" dataDxfId="3"/>
    <tableColumn id="8" xr3:uid="{DEE2CD65-EA8E-4BCA-8D3E-457FB4F7D06C}" name="Rank" dataDxfId="2"/>
    <tableColumn id="9" xr3:uid="{30C6F36C-DB9A-4F2F-B011-F2DEBD996047}" name="Manhattan_x000a_Distance" dataDxfId="1"/>
    <tableColumn id="10" xr3:uid="{914C7815-8F3C-4E88-B9F0-79F0CF3B3F50}" name="Rank2" dataDxfId="0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222C-45F1-45C6-9B7F-6F9E0EFDD78B}">
  <dimension ref="A1:H20"/>
  <sheetViews>
    <sheetView zoomScale="145" zoomScaleNormal="145" workbookViewId="0">
      <selection activeCell="F19" sqref="F19"/>
    </sheetView>
  </sheetViews>
  <sheetFormatPr defaultRowHeight="13.8" x14ac:dyDescent="0.3"/>
  <sheetData>
    <row r="1" spans="1:8" x14ac:dyDescent="0.3">
      <c r="A1" t="s">
        <v>17</v>
      </c>
    </row>
    <row r="3" spans="1:8" x14ac:dyDescent="0.3">
      <c r="B3" s="2" t="s">
        <v>0</v>
      </c>
      <c r="C3" s="2" t="s">
        <v>1</v>
      </c>
      <c r="D3" s="2" t="s">
        <v>2</v>
      </c>
      <c r="E3" s="2" t="s">
        <v>11</v>
      </c>
      <c r="F3" s="2" t="s">
        <v>12</v>
      </c>
      <c r="G3" s="2" t="s">
        <v>10</v>
      </c>
      <c r="H3" s="2"/>
    </row>
    <row r="4" spans="1:8" x14ac:dyDescent="0.3">
      <c r="B4" s="1" t="s">
        <v>3</v>
      </c>
      <c r="C4">
        <v>6</v>
      </c>
      <c r="D4">
        <v>82</v>
      </c>
      <c r="E4">
        <f>C4*D4</f>
        <v>492</v>
      </c>
      <c r="F4">
        <f>C4^2</f>
        <v>36</v>
      </c>
      <c r="G4">
        <f>D4^2</f>
        <v>6724</v>
      </c>
    </row>
    <row r="5" spans="1:8" x14ac:dyDescent="0.3">
      <c r="B5" s="1" t="s">
        <v>4</v>
      </c>
      <c r="C5">
        <v>2</v>
      </c>
      <c r="D5">
        <v>86</v>
      </c>
      <c r="E5">
        <f t="shared" ref="E5:E10" si="0">C5*D5</f>
        <v>172</v>
      </c>
      <c r="F5">
        <f t="shared" ref="F5:F10" si="1">C5^2</f>
        <v>4</v>
      </c>
      <c r="G5">
        <f t="shared" ref="G5:G10" si="2">D5^2</f>
        <v>7396</v>
      </c>
    </row>
    <row r="6" spans="1:8" x14ac:dyDescent="0.3">
      <c r="B6" s="1" t="s">
        <v>5</v>
      </c>
      <c r="C6">
        <v>15</v>
      </c>
      <c r="D6">
        <v>43</v>
      </c>
      <c r="E6">
        <f t="shared" si="0"/>
        <v>645</v>
      </c>
      <c r="F6">
        <f t="shared" si="1"/>
        <v>225</v>
      </c>
      <c r="G6">
        <f t="shared" si="2"/>
        <v>1849</v>
      </c>
    </row>
    <row r="7" spans="1:8" x14ac:dyDescent="0.3">
      <c r="B7" s="1" t="s">
        <v>6</v>
      </c>
      <c r="C7">
        <v>9</v>
      </c>
      <c r="D7">
        <v>74</v>
      </c>
      <c r="E7">
        <f t="shared" si="0"/>
        <v>666</v>
      </c>
      <c r="F7">
        <f t="shared" si="1"/>
        <v>81</v>
      </c>
      <c r="G7">
        <f t="shared" si="2"/>
        <v>5476</v>
      </c>
    </row>
    <row r="8" spans="1:8" x14ac:dyDescent="0.3">
      <c r="B8" s="1" t="s">
        <v>7</v>
      </c>
      <c r="C8">
        <v>12</v>
      </c>
      <c r="D8">
        <v>58</v>
      </c>
      <c r="E8">
        <f t="shared" si="0"/>
        <v>696</v>
      </c>
      <c r="F8">
        <f t="shared" si="1"/>
        <v>144</v>
      </c>
      <c r="G8">
        <f t="shared" si="2"/>
        <v>3364</v>
      </c>
    </row>
    <row r="9" spans="1:8" x14ac:dyDescent="0.3">
      <c r="B9" s="1" t="s">
        <v>8</v>
      </c>
      <c r="C9">
        <v>5</v>
      </c>
      <c r="D9">
        <v>90</v>
      </c>
      <c r="E9">
        <f t="shared" si="0"/>
        <v>450</v>
      </c>
      <c r="F9">
        <f t="shared" si="1"/>
        <v>25</v>
      </c>
      <c r="G9">
        <f t="shared" si="2"/>
        <v>8100</v>
      </c>
    </row>
    <row r="10" spans="1:8" x14ac:dyDescent="0.3">
      <c r="B10" s="1" t="s">
        <v>9</v>
      </c>
      <c r="C10">
        <v>8</v>
      </c>
      <c r="D10">
        <v>78</v>
      </c>
      <c r="E10">
        <f t="shared" si="0"/>
        <v>624</v>
      </c>
      <c r="F10">
        <f t="shared" si="1"/>
        <v>64</v>
      </c>
      <c r="G10">
        <f t="shared" si="2"/>
        <v>6084</v>
      </c>
    </row>
    <row r="11" spans="1:8" x14ac:dyDescent="0.3">
      <c r="C11">
        <f t="shared" ref="C11:G11" si="3">SUM(C4:C10)</f>
        <v>57</v>
      </c>
      <c r="D11">
        <f t="shared" si="3"/>
        <v>511</v>
      </c>
      <c r="E11">
        <f t="shared" si="3"/>
        <v>3745</v>
      </c>
      <c r="F11">
        <f t="shared" si="3"/>
        <v>579</v>
      </c>
      <c r="G11">
        <f t="shared" si="3"/>
        <v>38993</v>
      </c>
    </row>
    <row r="13" spans="1:8" x14ac:dyDescent="0.3">
      <c r="B13" s="1" t="s">
        <v>13</v>
      </c>
      <c r="C13">
        <f>COUNTA(B4:B10)</f>
        <v>7</v>
      </c>
      <c r="E13" s="2" t="s">
        <v>21</v>
      </c>
      <c r="F13" s="2" t="s">
        <v>22</v>
      </c>
    </row>
    <row r="14" spans="1:8" x14ac:dyDescent="0.3">
      <c r="B14" s="1" t="s">
        <v>14</v>
      </c>
      <c r="C14">
        <f>(C13*E11-C11*D11)/SQRT((C13*F11-C11^2)*(C13*G11-D11^2))</f>
        <v>-0.94421517068791783</v>
      </c>
      <c r="E14">
        <v>10</v>
      </c>
      <c r="F14">
        <f>$C$18+$C$19*E14</f>
        <v>66.273631840796014</v>
      </c>
    </row>
    <row r="15" spans="1:8" x14ac:dyDescent="0.3">
      <c r="B15" s="1" t="s">
        <v>14</v>
      </c>
      <c r="C15">
        <f>CORREL(C4:C10,D4:D10)</f>
        <v>-0.94421517068791805</v>
      </c>
      <c r="E15">
        <v>11</v>
      </c>
      <c r="F15">
        <f t="shared" ref="F15:F16" si="4">$C$18+$C$19*E15</f>
        <v>62.651741293532332</v>
      </c>
    </row>
    <row r="16" spans="1:8" x14ac:dyDescent="0.3">
      <c r="A16" t="s">
        <v>18</v>
      </c>
      <c r="B16" s="1" t="s">
        <v>15</v>
      </c>
      <c r="C16">
        <f>(D11*F11-C11*E11)/(C13*F11-C11^2)</f>
        <v>102.49253731343283</v>
      </c>
      <c r="E16">
        <v>14</v>
      </c>
      <c r="F16">
        <f t="shared" si="4"/>
        <v>51.786069651741286</v>
      </c>
    </row>
    <row r="17" spans="1:3" x14ac:dyDescent="0.3">
      <c r="A17" t="s">
        <v>19</v>
      </c>
      <c r="B17" s="1" t="s">
        <v>16</v>
      </c>
      <c r="C17">
        <f>(C13*E11-C11*D11)/(C13*F11-C11^2)</f>
        <v>-3.6218905472636815</v>
      </c>
    </row>
    <row r="18" spans="1:3" x14ac:dyDescent="0.3">
      <c r="A18" t="s">
        <v>18</v>
      </c>
      <c r="B18" s="1" t="s">
        <v>15</v>
      </c>
      <c r="C18">
        <f>INTERCEPT(D4:D10,C4:C10)</f>
        <v>102.49253731343283</v>
      </c>
    </row>
    <row r="19" spans="1:3" x14ac:dyDescent="0.3">
      <c r="A19" t="s">
        <v>19</v>
      </c>
      <c r="B19" s="1" t="s">
        <v>16</v>
      </c>
      <c r="C19">
        <f>SLOPE(D4:D10,C4:C10)</f>
        <v>-3.621890547263682</v>
      </c>
    </row>
    <row r="20" spans="1:3" x14ac:dyDescent="0.3">
      <c r="B20" s="1" t="s">
        <v>20</v>
      </c>
      <c r="C20">
        <f>C14^2</f>
        <v>0.89154228855721385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BF1C-1F3F-41C5-87AE-B150C533E1C2}">
  <dimension ref="B1:AC66"/>
  <sheetViews>
    <sheetView showGridLines="0" tabSelected="1" topLeftCell="C46" zoomScaleNormal="100" workbookViewId="0">
      <selection activeCell="I60" sqref="I60"/>
    </sheetView>
  </sheetViews>
  <sheetFormatPr defaultRowHeight="14.4" x14ac:dyDescent="0.3"/>
  <cols>
    <col min="1" max="1" width="4.21875" style="3" customWidth="1"/>
    <col min="2" max="2" width="8.5546875" style="3" customWidth="1"/>
    <col min="3" max="3" width="18" style="3" bestFit="1" customWidth="1"/>
    <col min="4" max="4" width="16.21875" style="3" bestFit="1" customWidth="1"/>
    <col min="5" max="5" width="11.77734375" style="3" bestFit="1" customWidth="1"/>
    <col min="6" max="6" width="8.5546875" style="3" bestFit="1" customWidth="1"/>
    <col min="7" max="7" width="6" style="3" bestFit="1" customWidth="1"/>
    <col min="8" max="8" width="12.5546875" style="26" bestFit="1" customWidth="1"/>
    <col min="9" max="9" width="8.77734375" style="3" customWidth="1"/>
    <col min="10" max="11" width="8.88671875" style="3"/>
    <col min="12" max="12" width="28" style="5" bestFit="1" customWidth="1"/>
    <col min="13" max="14" width="8.88671875" style="5"/>
    <col min="15" max="19" width="8.88671875" style="3"/>
    <col min="20" max="20" width="20" style="3" bestFit="1" customWidth="1"/>
    <col min="21" max="21" width="34" style="3" bestFit="1" customWidth="1"/>
    <col min="22" max="22" width="10.21875" style="3" bestFit="1" customWidth="1"/>
    <col min="23" max="24" width="8.88671875" style="3"/>
    <col min="25" max="25" width="15.21875" style="3" bestFit="1" customWidth="1"/>
    <col min="26" max="26" width="20.77734375" style="3" bestFit="1" customWidth="1"/>
    <col min="27" max="27" width="16.44140625" style="3" bestFit="1" customWidth="1"/>
    <col min="28" max="28" width="12.109375" style="3" bestFit="1" customWidth="1"/>
    <col min="29" max="29" width="8.109375" style="3" bestFit="1" customWidth="1"/>
    <col min="30" max="16384" width="8.88671875" style="3"/>
  </cols>
  <sheetData>
    <row r="1" spans="2:29" x14ac:dyDescent="0.3">
      <c r="H1" s="4"/>
      <c r="I1" s="5"/>
      <c r="J1" s="5"/>
      <c r="K1" s="5"/>
      <c r="O1" s="5"/>
      <c r="P1" s="5"/>
      <c r="Q1" s="5"/>
      <c r="R1" s="5"/>
      <c r="S1" s="5"/>
      <c r="T1" s="5"/>
      <c r="U1" s="5"/>
    </row>
    <row r="2" spans="2:29" ht="15" thickBot="1" x14ac:dyDescent="0.35">
      <c r="H2" s="4"/>
      <c r="I2" s="5"/>
      <c r="J2" s="5"/>
      <c r="K2" s="5"/>
      <c r="O2" s="5"/>
      <c r="P2" s="5"/>
      <c r="Q2" s="5"/>
      <c r="R2" s="5"/>
      <c r="S2" s="5"/>
      <c r="T2" s="5"/>
      <c r="U2" s="5"/>
    </row>
    <row r="3" spans="2:29" ht="18.600000000000001" thickBot="1" x14ac:dyDescent="0.4">
      <c r="B3" s="6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4"/>
      <c r="I3" s="5"/>
      <c r="J3" s="5"/>
      <c r="K3" s="5"/>
      <c r="O3" s="5"/>
      <c r="P3" s="5"/>
      <c r="Q3" s="5"/>
      <c r="R3" s="5"/>
      <c r="S3" s="5"/>
      <c r="T3" s="5"/>
      <c r="U3" s="5"/>
      <c r="X3" s="6" t="s">
        <v>23</v>
      </c>
      <c r="Y3" s="7" t="s">
        <v>29</v>
      </c>
      <c r="Z3" s="7" t="s">
        <v>30</v>
      </c>
      <c r="AA3" s="7" t="s">
        <v>31</v>
      </c>
      <c r="AB3" s="7" t="s">
        <v>32</v>
      </c>
      <c r="AC3" s="6" t="s">
        <v>33</v>
      </c>
    </row>
    <row r="4" spans="2:29" ht="18.600000000000001" thickBot="1" x14ac:dyDescent="0.4">
      <c r="B4" s="8">
        <v>1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4"/>
      <c r="I4" s="5"/>
      <c r="J4" s="5"/>
      <c r="K4" s="5"/>
      <c r="O4" s="5"/>
      <c r="P4" s="5"/>
      <c r="Q4" s="5"/>
      <c r="R4" s="5"/>
      <c r="S4" s="5"/>
      <c r="T4" s="5"/>
      <c r="U4" s="5"/>
      <c r="X4" s="8">
        <v>1</v>
      </c>
      <c r="Y4" s="9" t="s">
        <v>39</v>
      </c>
      <c r="Z4" s="9" t="s">
        <v>40</v>
      </c>
      <c r="AA4" s="9" t="s">
        <v>41</v>
      </c>
      <c r="AB4" s="9" t="s">
        <v>42</v>
      </c>
      <c r="AC4" s="8" t="s">
        <v>43</v>
      </c>
    </row>
    <row r="5" spans="2:29" ht="18.600000000000001" thickBot="1" x14ac:dyDescent="0.4">
      <c r="B5" s="8">
        <v>2</v>
      </c>
      <c r="C5" s="9" t="s">
        <v>34</v>
      </c>
      <c r="D5" s="9" t="s">
        <v>35</v>
      </c>
      <c r="E5" s="9" t="s">
        <v>36</v>
      </c>
      <c r="F5" s="9" t="s">
        <v>44</v>
      </c>
      <c r="G5" s="9" t="s">
        <v>38</v>
      </c>
      <c r="H5" s="4"/>
      <c r="I5" s="5"/>
      <c r="J5" s="5"/>
      <c r="K5" s="5"/>
      <c r="O5" s="5"/>
      <c r="P5" s="5"/>
      <c r="Q5" s="5"/>
      <c r="R5" s="5"/>
      <c r="S5" s="5"/>
      <c r="T5" s="5"/>
      <c r="U5" s="5"/>
      <c r="X5" s="8">
        <v>2</v>
      </c>
      <c r="Y5" s="9" t="s">
        <v>39</v>
      </c>
      <c r="Z5" s="9" t="s">
        <v>40</v>
      </c>
      <c r="AA5" s="9" t="s">
        <v>41</v>
      </c>
      <c r="AB5" s="9" t="s">
        <v>45</v>
      </c>
      <c r="AC5" s="8" t="s">
        <v>43</v>
      </c>
    </row>
    <row r="6" spans="2:29" ht="18.600000000000001" thickBot="1" x14ac:dyDescent="0.4">
      <c r="B6" s="8">
        <v>3</v>
      </c>
      <c r="C6" s="9" t="s">
        <v>46</v>
      </c>
      <c r="D6" s="9" t="s">
        <v>35</v>
      </c>
      <c r="E6" s="9" t="s">
        <v>36</v>
      </c>
      <c r="F6" s="9" t="s">
        <v>37</v>
      </c>
      <c r="G6" s="9" t="s">
        <v>47</v>
      </c>
      <c r="H6" s="4"/>
      <c r="I6" s="5"/>
      <c r="J6" s="5"/>
      <c r="K6" s="5"/>
      <c r="O6" s="5"/>
      <c r="P6" s="5"/>
      <c r="Q6" s="5"/>
      <c r="R6" s="5"/>
      <c r="S6" s="5"/>
      <c r="T6" s="5"/>
      <c r="U6" s="5"/>
      <c r="X6" s="8">
        <v>3</v>
      </c>
      <c r="Y6" s="9" t="s">
        <v>48</v>
      </c>
      <c r="Z6" s="9" t="s">
        <v>40</v>
      </c>
      <c r="AA6" s="9" t="s">
        <v>41</v>
      </c>
      <c r="AB6" s="9" t="s">
        <v>42</v>
      </c>
      <c r="AC6" s="8" t="s">
        <v>49</v>
      </c>
    </row>
    <row r="7" spans="2:29" ht="18.600000000000001" thickBot="1" x14ac:dyDescent="0.4">
      <c r="B7" s="8">
        <v>4</v>
      </c>
      <c r="C7" s="9" t="s">
        <v>50</v>
      </c>
      <c r="D7" s="9" t="s">
        <v>51</v>
      </c>
      <c r="E7" s="9" t="s">
        <v>36</v>
      </c>
      <c r="F7" s="9" t="s">
        <v>37</v>
      </c>
      <c r="G7" s="9" t="s">
        <v>47</v>
      </c>
      <c r="H7" s="4"/>
      <c r="I7" s="5"/>
      <c r="J7" s="5"/>
      <c r="K7" s="5"/>
      <c r="O7" s="5"/>
      <c r="P7" s="5"/>
      <c r="Q7" s="5"/>
      <c r="R7" s="5"/>
      <c r="S7" s="5"/>
      <c r="T7" s="5"/>
      <c r="U7" s="5"/>
      <c r="X7" s="8">
        <v>4</v>
      </c>
      <c r="Y7" s="9" t="s">
        <v>52</v>
      </c>
      <c r="Z7" s="9" t="s">
        <v>53</v>
      </c>
      <c r="AA7" s="9" t="s">
        <v>41</v>
      </c>
      <c r="AB7" s="9" t="s">
        <v>42</v>
      </c>
      <c r="AC7" s="8" t="s">
        <v>49</v>
      </c>
    </row>
    <row r="8" spans="2:29" ht="18.600000000000001" thickBot="1" x14ac:dyDescent="0.4">
      <c r="B8" s="8">
        <v>5</v>
      </c>
      <c r="C8" s="9" t="s">
        <v>50</v>
      </c>
      <c r="D8" s="9" t="s">
        <v>54</v>
      </c>
      <c r="E8" s="9" t="s">
        <v>55</v>
      </c>
      <c r="F8" s="9" t="s">
        <v>37</v>
      </c>
      <c r="G8" s="9" t="s">
        <v>47</v>
      </c>
      <c r="H8" s="4"/>
      <c r="I8" s="5"/>
      <c r="J8" s="5"/>
      <c r="K8" s="5"/>
      <c r="O8" s="5"/>
      <c r="P8" s="5"/>
      <c r="Q8" s="5"/>
      <c r="R8" s="5"/>
      <c r="S8" s="5"/>
      <c r="T8" s="5"/>
      <c r="U8" s="5"/>
      <c r="X8" s="8">
        <v>5</v>
      </c>
      <c r="Y8" s="9" t="s">
        <v>52</v>
      </c>
      <c r="Z8" s="9" t="s">
        <v>56</v>
      </c>
      <c r="AA8" s="9" t="s">
        <v>57</v>
      </c>
      <c r="AB8" s="9" t="s">
        <v>42</v>
      </c>
      <c r="AC8" s="8" t="s">
        <v>49</v>
      </c>
    </row>
    <row r="9" spans="2:29" ht="18.600000000000001" thickBot="1" x14ac:dyDescent="0.4">
      <c r="B9" s="8">
        <v>6</v>
      </c>
      <c r="C9" s="9" t="s">
        <v>50</v>
      </c>
      <c r="D9" s="9" t="s">
        <v>54</v>
      </c>
      <c r="E9" s="9" t="s">
        <v>55</v>
      </c>
      <c r="F9" s="9" t="s">
        <v>44</v>
      </c>
      <c r="G9" s="9" t="s">
        <v>38</v>
      </c>
      <c r="H9" s="4"/>
      <c r="I9" s="5"/>
      <c r="J9" s="5"/>
      <c r="K9" s="5"/>
      <c r="O9" s="5"/>
      <c r="P9" s="5"/>
      <c r="Q9" s="5"/>
      <c r="R9" s="5"/>
      <c r="S9" s="5"/>
      <c r="T9" s="5"/>
      <c r="U9" s="5"/>
      <c r="X9" s="8">
        <v>6</v>
      </c>
      <c r="Y9" s="9" t="s">
        <v>52</v>
      </c>
      <c r="Z9" s="9" t="s">
        <v>56</v>
      </c>
      <c r="AA9" s="9" t="s">
        <v>57</v>
      </c>
      <c r="AB9" s="9" t="s">
        <v>45</v>
      </c>
      <c r="AC9" s="8" t="s">
        <v>43</v>
      </c>
    </row>
    <row r="10" spans="2:29" ht="18.600000000000001" thickBot="1" x14ac:dyDescent="0.4">
      <c r="B10" s="8">
        <v>7</v>
      </c>
      <c r="C10" s="9" t="s">
        <v>46</v>
      </c>
      <c r="D10" s="9" t="s">
        <v>54</v>
      </c>
      <c r="E10" s="9" t="s">
        <v>55</v>
      </c>
      <c r="F10" s="9" t="s">
        <v>44</v>
      </c>
      <c r="G10" s="9" t="s">
        <v>47</v>
      </c>
      <c r="H10" s="4"/>
      <c r="I10" s="10" t="s">
        <v>58</v>
      </c>
      <c r="J10" s="10" t="s">
        <v>59</v>
      </c>
      <c r="K10" s="10" t="s">
        <v>60</v>
      </c>
      <c r="L10" s="11" t="s">
        <v>61</v>
      </c>
      <c r="M10" s="5" t="s">
        <v>62</v>
      </c>
      <c r="N10" s="5" t="s">
        <v>63</v>
      </c>
      <c r="O10" s="5"/>
      <c r="P10" s="5"/>
      <c r="Q10" s="5"/>
      <c r="R10" s="5"/>
      <c r="S10" s="5"/>
      <c r="T10" s="5"/>
      <c r="U10" s="5"/>
      <c r="X10" s="8">
        <v>7</v>
      </c>
      <c r="Y10" s="9" t="s">
        <v>48</v>
      </c>
      <c r="Z10" s="9" t="s">
        <v>56</v>
      </c>
      <c r="AA10" s="9" t="s">
        <v>57</v>
      </c>
      <c r="AB10" s="9" t="s">
        <v>45</v>
      </c>
      <c r="AC10" s="8" t="s">
        <v>49</v>
      </c>
    </row>
    <row r="11" spans="2:29" ht="18.600000000000001" thickBot="1" x14ac:dyDescent="0.4">
      <c r="B11" s="8">
        <v>8</v>
      </c>
      <c r="C11" s="9" t="s">
        <v>34</v>
      </c>
      <c r="D11" s="9" t="s">
        <v>51</v>
      </c>
      <c r="E11" s="9" t="s">
        <v>36</v>
      </c>
      <c r="F11" s="9" t="s">
        <v>37</v>
      </c>
      <c r="G11" s="9" t="s">
        <v>38</v>
      </c>
      <c r="H11" s="4"/>
      <c r="I11" s="5">
        <f>D19</f>
        <v>9</v>
      </c>
      <c r="J11" s="5">
        <f>D20</f>
        <v>5</v>
      </c>
      <c r="K11" s="5">
        <f>I11+J11</f>
        <v>14</v>
      </c>
      <c r="L11" s="5">
        <f>((-I11/K11)*LOG(I11/K11,2)-(J11/K11)*LOG(J11/K11,2))</f>
        <v>0.94028595867063092</v>
      </c>
      <c r="O11" s="5"/>
      <c r="P11" s="5"/>
      <c r="Q11" s="5"/>
      <c r="R11" s="5"/>
      <c r="S11" s="5"/>
      <c r="T11" s="5"/>
      <c r="U11" s="5"/>
      <c r="X11" s="8">
        <v>8</v>
      </c>
      <c r="Y11" s="9" t="s">
        <v>39</v>
      </c>
      <c r="Z11" s="9" t="s">
        <v>53</v>
      </c>
      <c r="AA11" s="9" t="s">
        <v>41</v>
      </c>
      <c r="AB11" s="9" t="s">
        <v>42</v>
      </c>
      <c r="AC11" s="8" t="s">
        <v>43</v>
      </c>
    </row>
    <row r="12" spans="2:29" ht="18.600000000000001" thickBot="1" x14ac:dyDescent="0.4">
      <c r="B12" s="8">
        <v>9</v>
      </c>
      <c r="C12" s="9" t="s">
        <v>34</v>
      </c>
      <c r="D12" s="9" t="s">
        <v>54</v>
      </c>
      <c r="E12" s="9" t="s">
        <v>55</v>
      </c>
      <c r="F12" s="9" t="s">
        <v>37</v>
      </c>
      <c r="G12" s="12" t="s">
        <v>47</v>
      </c>
      <c r="H12" s="13" t="s">
        <v>24</v>
      </c>
      <c r="I12" s="14"/>
      <c r="J12" s="14"/>
      <c r="K12" s="14"/>
      <c r="L12" s="14"/>
      <c r="M12" s="14">
        <f>(K13/$K$11)*L13+(K14/$K$11)*L14+(K15/$K$11)*L15</f>
        <v>0.69353613889619181</v>
      </c>
      <c r="N12" s="15">
        <f>$L$11-M12</f>
        <v>0.24674981977443911</v>
      </c>
      <c r="O12" s="5"/>
      <c r="P12" s="5"/>
      <c r="Q12" s="5"/>
      <c r="R12" s="5"/>
      <c r="S12" s="5"/>
      <c r="T12" s="5"/>
      <c r="U12" s="5"/>
      <c r="X12" s="8">
        <v>9</v>
      </c>
      <c r="Y12" s="9" t="s">
        <v>39</v>
      </c>
      <c r="Z12" s="9" t="s">
        <v>56</v>
      </c>
      <c r="AA12" s="9" t="s">
        <v>57</v>
      </c>
      <c r="AB12" s="9" t="s">
        <v>42</v>
      </c>
      <c r="AC12" s="8" t="s">
        <v>49</v>
      </c>
    </row>
    <row r="13" spans="2:29" ht="18.600000000000001" thickBot="1" x14ac:dyDescent="0.4">
      <c r="B13" s="8">
        <v>10</v>
      </c>
      <c r="C13" s="9" t="s">
        <v>50</v>
      </c>
      <c r="D13" s="9" t="s">
        <v>51</v>
      </c>
      <c r="E13" s="9" t="s">
        <v>55</v>
      </c>
      <c r="F13" s="9" t="s">
        <v>37</v>
      </c>
      <c r="G13" s="12" t="s">
        <v>47</v>
      </c>
      <c r="H13" s="16" t="s">
        <v>34</v>
      </c>
      <c r="I13" s="5">
        <v>2</v>
      </c>
      <c r="J13" s="5">
        <v>3</v>
      </c>
      <c r="K13" s="5">
        <f>I13+J13</f>
        <v>5</v>
      </c>
      <c r="L13" s="5">
        <f>((-I13/K13)*LOG(I13/K13,2)-(J13/K13)*LOG(J13/K13,2))</f>
        <v>0.97095059445466858</v>
      </c>
      <c r="N13" s="17"/>
      <c r="O13" s="5"/>
      <c r="P13" s="5"/>
      <c r="Q13" s="5"/>
      <c r="R13" s="5"/>
      <c r="S13" s="5"/>
      <c r="T13" s="5"/>
      <c r="U13" s="5"/>
      <c r="X13" s="8">
        <v>10</v>
      </c>
      <c r="Y13" s="9" t="s">
        <v>52</v>
      </c>
      <c r="Z13" s="9" t="s">
        <v>53</v>
      </c>
      <c r="AA13" s="9" t="s">
        <v>57</v>
      </c>
      <c r="AB13" s="9" t="s">
        <v>42</v>
      </c>
      <c r="AC13" s="8" t="s">
        <v>49</v>
      </c>
    </row>
    <row r="14" spans="2:29" ht="18.600000000000001" thickBot="1" x14ac:dyDescent="0.4">
      <c r="B14" s="8">
        <v>11</v>
      </c>
      <c r="C14" s="9" t="s">
        <v>34</v>
      </c>
      <c r="D14" s="9" t="s">
        <v>51</v>
      </c>
      <c r="E14" s="9" t="s">
        <v>55</v>
      </c>
      <c r="F14" s="9" t="s">
        <v>44</v>
      </c>
      <c r="G14" s="12" t="s">
        <v>47</v>
      </c>
      <c r="H14" s="16" t="s">
        <v>46</v>
      </c>
      <c r="I14" s="5">
        <v>4</v>
      </c>
      <c r="J14" s="5">
        <v>0</v>
      </c>
      <c r="K14" s="5">
        <f>I14+J14</f>
        <v>4</v>
      </c>
      <c r="L14" s="5">
        <v>0</v>
      </c>
      <c r="N14" s="17"/>
      <c r="O14" s="5"/>
      <c r="P14" s="5"/>
      <c r="Q14" s="5"/>
      <c r="R14" s="5"/>
      <c r="S14" s="5"/>
      <c r="T14" s="5"/>
      <c r="U14" s="5"/>
      <c r="X14" s="8">
        <v>11</v>
      </c>
      <c r="Y14" s="9" t="s">
        <v>39</v>
      </c>
      <c r="Z14" s="9" t="s">
        <v>53</v>
      </c>
      <c r="AA14" s="9" t="s">
        <v>57</v>
      </c>
      <c r="AB14" s="9" t="s">
        <v>45</v>
      </c>
      <c r="AC14" s="8" t="s">
        <v>49</v>
      </c>
    </row>
    <row r="15" spans="2:29" ht="18.600000000000001" thickBot="1" x14ac:dyDescent="0.4">
      <c r="B15" s="8">
        <v>12</v>
      </c>
      <c r="C15" s="9" t="s">
        <v>46</v>
      </c>
      <c r="D15" s="9" t="s">
        <v>51</v>
      </c>
      <c r="E15" s="9" t="s">
        <v>36</v>
      </c>
      <c r="F15" s="9" t="s">
        <v>44</v>
      </c>
      <c r="G15" s="12" t="s">
        <v>47</v>
      </c>
      <c r="H15" s="16" t="s">
        <v>50</v>
      </c>
      <c r="I15" s="5">
        <v>3</v>
      </c>
      <c r="J15" s="5">
        <v>2</v>
      </c>
      <c r="K15" s="5">
        <f>I15+J15</f>
        <v>5</v>
      </c>
      <c r="L15" s="5">
        <f>((-I15/K15)*LOG(I15/K15,2)-(J15/K15)*LOG(J15/K15,2))</f>
        <v>0.97095059445466858</v>
      </c>
      <c r="N15" s="17"/>
      <c r="O15" s="5"/>
      <c r="P15" s="5"/>
      <c r="Q15" s="5"/>
      <c r="R15" s="5"/>
      <c r="S15" s="5"/>
      <c r="T15" s="5"/>
      <c r="U15" s="5"/>
      <c r="X15" s="8">
        <v>12</v>
      </c>
      <c r="Y15" s="9" t="s">
        <v>48</v>
      </c>
      <c r="Z15" s="9" t="s">
        <v>53</v>
      </c>
      <c r="AA15" s="9" t="s">
        <v>41</v>
      </c>
      <c r="AB15" s="9" t="s">
        <v>45</v>
      </c>
      <c r="AC15" s="8" t="s">
        <v>49</v>
      </c>
    </row>
    <row r="16" spans="2:29" ht="18.600000000000001" thickBot="1" x14ac:dyDescent="0.4">
      <c r="B16" s="8">
        <v>13</v>
      </c>
      <c r="C16" s="9" t="s">
        <v>46</v>
      </c>
      <c r="D16" s="9" t="s">
        <v>35</v>
      </c>
      <c r="E16" s="9" t="s">
        <v>55</v>
      </c>
      <c r="F16" s="9" t="s">
        <v>37</v>
      </c>
      <c r="G16" s="12" t="s">
        <v>47</v>
      </c>
      <c r="H16" s="13" t="s">
        <v>25</v>
      </c>
      <c r="I16" s="5"/>
      <c r="J16" s="5"/>
      <c r="K16" s="5"/>
      <c r="M16" s="5">
        <f>(K17/$K$11)*L17+(K18/$K$11)*L18+(K19/$K$11)*L19</f>
        <v>0.91106339301167627</v>
      </c>
      <c r="N16" s="17">
        <f>$L$11-M16</f>
        <v>2.9222565658954647E-2</v>
      </c>
      <c r="O16" s="5"/>
      <c r="P16" s="5"/>
      <c r="Q16" s="5"/>
      <c r="R16" s="5"/>
      <c r="S16" s="5"/>
      <c r="T16" s="5"/>
      <c r="U16" s="5"/>
      <c r="X16" s="8">
        <v>13</v>
      </c>
      <c r="Y16" s="9" t="s">
        <v>48</v>
      </c>
      <c r="Z16" s="9" t="s">
        <v>40</v>
      </c>
      <c r="AA16" s="9" t="s">
        <v>57</v>
      </c>
      <c r="AB16" s="9" t="s">
        <v>42</v>
      </c>
      <c r="AC16" s="8" t="s">
        <v>49</v>
      </c>
    </row>
    <row r="17" spans="2:29" ht="18.600000000000001" thickBot="1" x14ac:dyDescent="0.4">
      <c r="B17" s="8">
        <v>14</v>
      </c>
      <c r="C17" s="9" t="s">
        <v>50</v>
      </c>
      <c r="D17" s="9" t="s">
        <v>51</v>
      </c>
      <c r="E17" s="9" t="s">
        <v>36</v>
      </c>
      <c r="F17" s="9" t="s">
        <v>44</v>
      </c>
      <c r="G17" s="12" t="s">
        <v>38</v>
      </c>
      <c r="H17" s="16" t="s">
        <v>35</v>
      </c>
      <c r="I17" s="5">
        <v>2</v>
      </c>
      <c r="J17" s="5">
        <v>2</v>
      </c>
      <c r="K17" s="5">
        <f>I17+J17</f>
        <v>4</v>
      </c>
      <c r="L17" s="5">
        <f>((-I17/K17)*LOG(I17/K17,2)-(J17/K17)*LOG(J17/K17,2))</f>
        <v>1</v>
      </c>
      <c r="N17" s="17"/>
      <c r="O17" s="5"/>
      <c r="P17" s="5"/>
      <c r="Q17" s="5"/>
      <c r="R17" s="5"/>
      <c r="S17" s="5"/>
      <c r="T17" s="5"/>
      <c r="U17" s="5"/>
      <c r="X17" s="8">
        <v>14</v>
      </c>
      <c r="Y17" s="9" t="s">
        <v>52</v>
      </c>
      <c r="Z17" s="9" t="s">
        <v>53</v>
      </c>
      <c r="AA17" s="9" t="s">
        <v>41</v>
      </c>
      <c r="AB17" s="9" t="s">
        <v>45</v>
      </c>
      <c r="AC17" s="8" t="s">
        <v>43</v>
      </c>
    </row>
    <row r="18" spans="2:29" ht="15" thickBot="1" x14ac:dyDescent="0.35">
      <c r="H18" s="16" t="s">
        <v>51</v>
      </c>
      <c r="I18" s="5">
        <v>4</v>
      </c>
      <c r="J18" s="5">
        <v>2</v>
      </c>
      <c r="K18" s="5">
        <f>I18+J18</f>
        <v>6</v>
      </c>
      <c r="L18" s="5">
        <f>((-I18/K18)*LOG(I18/K18,2)-(J18/K18)*LOG(J18/K18,2))</f>
        <v>0.91829583405448956</v>
      </c>
      <c r="N18" s="17"/>
      <c r="O18" s="5"/>
      <c r="P18" s="5"/>
      <c r="Q18" s="5"/>
      <c r="R18" s="5"/>
      <c r="S18" s="5"/>
      <c r="T18" s="5"/>
      <c r="U18" s="5"/>
    </row>
    <row r="19" spans="2:29" ht="18.600000000000001" thickBot="1" x14ac:dyDescent="0.4">
      <c r="C19" s="18" t="s">
        <v>64</v>
      </c>
      <c r="D19" s="3">
        <f>COUNTIF(G4:G17,"yes")</f>
        <v>9</v>
      </c>
      <c r="H19" s="16" t="s">
        <v>54</v>
      </c>
      <c r="I19" s="5">
        <v>3</v>
      </c>
      <c r="J19" s="5">
        <v>1</v>
      </c>
      <c r="K19" s="5">
        <f>I19+J19</f>
        <v>4</v>
      </c>
      <c r="L19" s="5">
        <f>((-I19/K19)*LOG(I19/K19,2)-(J19/K19)*LOG(J19/K19,2))</f>
        <v>0.81127812445913283</v>
      </c>
      <c r="N19" s="17"/>
      <c r="O19" s="5"/>
      <c r="P19" s="5"/>
      <c r="Q19" s="5"/>
      <c r="R19" s="5"/>
      <c r="S19" s="5"/>
      <c r="T19" s="5"/>
      <c r="U19" s="5"/>
      <c r="X19" s="6" t="s">
        <v>23</v>
      </c>
      <c r="Y19" s="7" t="s">
        <v>29</v>
      </c>
      <c r="Z19" s="7" t="s">
        <v>30</v>
      </c>
      <c r="AA19" s="7" t="s">
        <v>31</v>
      </c>
      <c r="AB19" s="7" t="s">
        <v>32</v>
      </c>
      <c r="AC19" s="6" t="s">
        <v>33</v>
      </c>
    </row>
    <row r="20" spans="2:29" ht="18.600000000000001" thickBot="1" x14ac:dyDescent="0.4">
      <c r="C20" s="18" t="s">
        <v>65</v>
      </c>
      <c r="D20" s="3">
        <f>COUNTIF(G4:G17,"no")</f>
        <v>5</v>
      </c>
      <c r="H20" s="13" t="s">
        <v>26</v>
      </c>
      <c r="I20" s="5"/>
      <c r="J20" s="5"/>
      <c r="K20" s="5"/>
      <c r="M20" s="5">
        <f>(K21/$K$11)*L21+(K22/$K$11)*L22</f>
        <v>0.78845045730828955</v>
      </c>
      <c r="N20" s="17">
        <f>$L$11-M20</f>
        <v>0.15183550136234136</v>
      </c>
      <c r="O20" s="5"/>
      <c r="P20" s="5"/>
      <c r="Q20" s="5"/>
      <c r="R20" s="5"/>
      <c r="S20" s="5"/>
      <c r="T20" s="5"/>
      <c r="U20" s="5"/>
      <c r="X20" s="19">
        <v>1</v>
      </c>
      <c r="Y20" s="20" t="s">
        <v>39</v>
      </c>
      <c r="Z20" s="20" t="s">
        <v>53</v>
      </c>
      <c r="AA20" s="20" t="s">
        <v>57</v>
      </c>
      <c r="AB20" s="20" t="s">
        <v>42</v>
      </c>
      <c r="AC20" s="20" t="s">
        <v>49</v>
      </c>
    </row>
    <row r="21" spans="2:29" ht="18.600000000000001" thickBot="1" x14ac:dyDescent="0.4">
      <c r="C21" s="18" t="s">
        <v>66</v>
      </c>
      <c r="D21" s="3">
        <f>D19+D20</f>
        <v>14</v>
      </c>
      <c r="H21" s="16" t="s">
        <v>36</v>
      </c>
      <c r="I21" s="5">
        <v>3</v>
      </c>
      <c r="J21" s="5">
        <v>4</v>
      </c>
      <c r="K21" s="5">
        <f>I21+J21</f>
        <v>7</v>
      </c>
      <c r="L21" s="5">
        <f>((-I21/K21)*LOG(I21/K21,2)-(J21/K21)*LOG(J21/K21,2))</f>
        <v>0.98522813603425163</v>
      </c>
      <c r="N21" s="17"/>
      <c r="O21" s="5"/>
      <c r="P21" s="5"/>
      <c r="Q21" s="5"/>
      <c r="R21" s="5"/>
      <c r="S21" s="5"/>
      <c r="T21" s="5"/>
      <c r="U21" s="5"/>
      <c r="X21" s="19">
        <v>2</v>
      </c>
      <c r="Y21" s="20" t="s">
        <v>52</v>
      </c>
      <c r="Z21" s="20" t="s">
        <v>40</v>
      </c>
      <c r="AA21" s="20" t="s">
        <v>41</v>
      </c>
      <c r="AB21" s="20" t="s">
        <v>45</v>
      </c>
      <c r="AC21" s="20" t="s">
        <v>43</v>
      </c>
    </row>
    <row r="22" spans="2:29" ht="15" thickBot="1" x14ac:dyDescent="0.35">
      <c r="H22" s="21" t="s">
        <v>55</v>
      </c>
      <c r="I22" s="5">
        <v>6</v>
      </c>
      <c r="J22" s="5">
        <v>1</v>
      </c>
      <c r="K22" s="5">
        <f>I22+J22</f>
        <v>7</v>
      </c>
      <c r="L22" s="5">
        <f>((-I22/K22)*LOG(I22/K22,2)-(J22/K22)*LOG(J22/K22,2))</f>
        <v>0.59167277858232747</v>
      </c>
      <c r="N22" s="17"/>
    </row>
    <row r="23" spans="2:29" ht="15" thickBot="1" x14ac:dyDescent="0.35">
      <c r="H23" s="22" t="s">
        <v>27</v>
      </c>
      <c r="M23" s="5">
        <f>(K24/$K$11)*L24+(K25/$K$11)*L25</f>
        <v>0.89215892826236165</v>
      </c>
      <c r="N23" s="17">
        <f>$L$11-M23</f>
        <v>4.8127030408269267E-2</v>
      </c>
    </row>
    <row r="24" spans="2:29" x14ac:dyDescent="0.3">
      <c r="H24" s="21" t="s">
        <v>44</v>
      </c>
      <c r="I24" s="5">
        <v>3</v>
      </c>
      <c r="J24" s="5">
        <v>3</v>
      </c>
      <c r="K24" s="5">
        <f>I24+J24</f>
        <v>6</v>
      </c>
      <c r="L24" s="5">
        <f>((-I24/K24)*LOG(I24/K24,2)-(J24/K24)*LOG(J24/K24,2))</f>
        <v>1</v>
      </c>
      <c r="N24" s="17"/>
    </row>
    <row r="25" spans="2:29" ht="15" thickBot="1" x14ac:dyDescent="0.35">
      <c r="H25" s="23" t="s">
        <v>37</v>
      </c>
      <c r="I25" s="24">
        <v>6</v>
      </c>
      <c r="J25" s="24">
        <v>2</v>
      </c>
      <c r="K25" s="24">
        <f>I25+J25</f>
        <v>8</v>
      </c>
      <c r="L25" s="24">
        <f>((-I25/K25)*LOG(I25/K25,2)-(J25/K25)*LOG(J25/K25,2))</f>
        <v>0.81127812445913283</v>
      </c>
      <c r="M25" s="24"/>
      <c r="N25" s="25"/>
    </row>
    <row r="27" spans="2:29" ht="18.600000000000001" thickBot="1" x14ac:dyDescent="0.4">
      <c r="I27" s="10" t="s">
        <v>58</v>
      </c>
      <c r="J27" s="10" t="s">
        <v>59</v>
      </c>
      <c r="K27" s="10" t="s">
        <v>60</v>
      </c>
      <c r="L27" s="11" t="s">
        <v>61</v>
      </c>
      <c r="M27" s="5" t="s">
        <v>62</v>
      </c>
      <c r="N27" s="5" t="s">
        <v>63</v>
      </c>
    </row>
    <row r="28" spans="2:29" ht="18.600000000000001" thickBot="1" x14ac:dyDescent="0.4">
      <c r="B28" s="6" t="s">
        <v>23</v>
      </c>
      <c r="C28" s="7" t="s">
        <v>24</v>
      </c>
      <c r="D28" s="7" t="s">
        <v>25</v>
      </c>
      <c r="E28" s="7" t="s">
        <v>26</v>
      </c>
      <c r="F28" s="7" t="s">
        <v>27</v>
      </c>
      <c r="G28" s="27" t="s">
        <v>28</v>
      </c>
      <c r="H28" s="22" t="s">
        <v>67</v>
      </c>
      <c r="I28" s="28"/>
      <c r="J28" s="28"/>
      <c r="K28" s="28"/>
      <c r="L28" s="14"/>
      <c r="M28" s="14">
        <f>(K29/$K$11)*L29+(K30/$K$11)*L30+(K31/$K$11)*L31</f>
        <v>0.14285714285714285</v>
      </c>
      <c r="N28" s="29">
        <f>$L$11-M28</f>
        <v>0.79742881581348812</v>
      </c>
    </row>
    <row r="29" spans="2:29" ht="18.600000000000001" thickBot="1" x14ac:dyDescent="0.4">
      <c r="B29" s="8">
        <v>1</v>
      </c>
      <c r="C29" s="9" t="s">
        <v>34</v>
      </c>
      <c r="D29" s="9" t="s">
        <v>35</v>
      </c>
      <c r="E29" s="9" t="s">
        <v>36</v>
      </c>
      <c r="F29" s="9" t="s">
        <v>37</v>
      </c>
      <c r="G29" s="12" t="s">
        <v>38</v>
      </c>
      <c r="H29" s="21" t="s">
        <v>35</v>
      </c>
      <c r="I29" s="5">
        <v>0</v>
      </c>
      <c r="J29" s="5">
        <v>2</v>
      </c>
      <c r="K29" s="5">
        <f t="shared" ref="K29:K34" si="0">I29+J29</f>
        <v>2</v>
      </c>
      <c r="L29" s="5">
        <v>0</v>
      </c>
      <c r="N29" s="17"/>
    </row>
    <row r="30" spans="2:29" ht="18.600000000000001" thickBot="1" x14ac:dyDescent="0.4">
      <c r="B30" s="8">
        <v>2</v>
      </c>
      <c r="C30" s="9" t="s">
        <v>34</v>
      </c>
      <c r="D30" s="9" t="s">
        <v>35</v>
      </c>
      <c r="E30" s="9" t="s">
        <v>36</v>
      </c>
      <c r="F30" s="9" t="s">
        <v>44</v>
      </c>
      <c r="G30" s="12" t="s">
        <v>38</v>
      </c>
      <c r="H30" s="16" t="s">
        <v>51</v>
      </c>
      <c r="I30" s="5">
        <v>1</v>
      </c>
      <c r="J30" s="5">
        <v>1</v>
      </c>
      <c r="K30" s="5">
        <f t="shared" si="0"/>
        <v>2</v>
      </c>
      <c r="L30" s="5">
        <f>((-I30/K30)*LOG(I30/K30,2)-(J30/K30)*LOG(J30/K30,2))</f>
        <v>1</v>
      </c>
      <c r="N30" s="17"/>
    </row>
    <row r="31" spans="2:29" ht="18.600000000000001" thickBot="1" x14ac:dyDescent="0.4">
      <c r="B31" s="8">
        <v>8</v>
      </c>
      <c r="C31" s="9" t="s">
        <v>34</v>
      </c>
      <c r="D31" s="9" t="s">
        <v>51</v>
      </c>
      <c r="E31" s="9" t="s">
        <v>36</v>
      </c>
      <c r="F31" s="9" t="s">
        <v>37</v>
      </c>
      <c r="G31" s="12" t="s">
        <v>38</v>
      </c>
      <c r="H31" s="16" t="s">
        <v>54</v>
      </c>
      <c r="I31" s="5">
        <v>1</v>
      </c>
      <c r="J31" s="5">
        <v>0</v>
      </c>
      <c r="K31" s="5">
        <f t="shared" si="0"/>
        <v>1</v>
      </c>
      <c r="L31" s="5">
        <v>0</v>
      </c>
      <c r="N31" s="17"/>
    </row>
    <row r="32" spans="2:29" ht="18.600000000000001" thickBot="1" x14ac:dyDescent="0.4">
      <c r="B32" s="8">
        <v>9</v>
      </c>
      <c r="C32" s="9" t="s">
        <v>34</v>
      </c>
      <c r="D32" s="9" t="s">
        <v>54</v>
      </c>
      <c r="E32" s="9" t="s">
        <v>55</v>
      </c>
      <c r="F32" s="9" t="s">
        <v>37</v>
      </c>
      <c r="G32" s="12" t="s">
        <v>47</v>
      </c>
      <c r="H32" s="22" t="s">
        <v>68</v>
      </c>
      <c r="M32" s="5">
        <f>(K33/$K$11)*L33+(K34/$K$11)*L34</f>
        <v>0</v>
      </c>
      <c r="N32" s="30">
        <f>$L$11-M32</f>
        <v>0.94028595867063092</v>
      </c>
    </row>
    <row r="33" spans="2:14" ht="18.600000000000001" thickBot="1" x14ac:dyDescent="0.4">
      <c r="B33" s="8">
        <v>11</v>
      </c>
      <c r="C33" s="9" t="s">
        <v>34</v>
      </c>
      <c r="D33" s="9" t="s">
        <v>51</v>
      </c>
      <c r="E33" s="9" t="s">
        <v>55</v>
      </c>
      <c r="F33" s="9" t="s">
        <v>44</v>
      </c>
      <c r="G33" s="12" t="s">
        <v>47</v>
      </c>
      <c r="H33" s="16" t="s">
        <v>36</v>
      </c>
      <c r="I33" s="5">
        <v>0</v>
      </c>
      <c r="J33" s="5">
        <v>3</v>
      </c>
      <c r="K33" s="5">
        <f t="shared" si="0"/>
        <v>3</v>
      </c>
      <c r="L33" s="5">
        <v>0</v>
      </c>
      <c r="N33" s="17"/>
    </row>
    <row r="34" spans="2:14" ht="15" thickBot="1" x14ac:dyDescent="0.35">
      <c r="H34" s="21" t="s">
        <v>55</v>
      </c>
      <c r="I34" s="5">
        <v>2</v>
      </c>
      <c r="J34" s="5">
        <v>0</v>
      </c>
      <c r="K34" s="5">
        <f t="shared" si="0"/>
        <v>2</v>
      </c>
      <c r="L34" s="5">
        <v>0</v>
      </c>
      <c r="N34" s="17"/>
    </row>
    <row r="35" spans="2:14" ht="15" thickBot="1" x14ac:dyDescent="0.35">
      <c r="H35" s="22" t="s">
        <v>69</v>
      </c>
      <c r="M35" s="5">
        <f>(K36/$K$11)*L36+(K37/$K$11)*L37</f>
        <v>0.33963482158310487</v>
      </c>
      <c r="N35" s="17">
        <f>$L$11-M35</f>
        <v>0.60065113708752604</v>
      </c>
    </row>
    <row r="36" spans="2:14" x14ac:dyDescent="0.3">
      <c r="H36" s="21" t="s">
        <v>44</v>
      </c>
      <c r="I36" s="5">
        <v>1</v>
      </c>
      <c r="J36" s="5">
        <v>1</v>
      </c>
      <c r="K36" s="5">
        <f t="shared" ref="K36:K37" si="1">I36+J36</f>
        <v>2</v>
      </c>
      <c r="L36" s="5">
        <f t="shared" ref="L36:L37" si="2">((-I36/K36)*LOG(I36/K36,2)-(J36/K36)*LOG(J36/K36,2))</f>
        <v>1</v>
      </c>
      <c r="N36" s="17"/>
    </row>
    <row r="37" spans="2:14" ht="15" thickBot="1" x14ac:dyDescent="0.35">
      <c r="H37" s="23" t="s">
        <v>37</v>
      </c>
      <c r="I37" s="24">
        <v>1</v>
      </c>
      <c r="J37" s="24">
        <v>2</v>
      </c>
      <c r="K37" s="24">
        <f t="shared" si="1"/>
        <v>3</v>
      </c>
      <c r="L37" s="24">
        <f t="shared" si="2"/>
        <v>0.91829583405448956</v>
      </c>
      <c r="M37" s="24"/>
      <c r="N37" s="25"/>
    </row>
    <row r="38" spans="2:14" ht="15" thickBot="1" x14ac:dyDescent="0.35"/>
    <row r="39" spans="2:14" ht="18.600000000000001" thickBot="1" x14ac:dyDescent="0.4">
      <c r="B39" s="6" t="s">
        <v>23</v>
      </c>
      <c r="C39" s="7" t="s">
        <v>24</v>
      </c>
      <c r="D39" s="7" t="s">
        <v>25</v>
      </c>
      <c r="E39" s="7" t="s">
        <v>26</v>
      </c>
      <c r="F39" s="7" t="s">
        <v>27</v>
      </c>
      <c r="G39" s="7" t="s">
        <v>28</v>
      </c>
    </row>
    <row r="40" spans="2:14" ht="18.600000000000001" thickBot="1" x14ac:dyDescent="0.4">
      <c r="B40" s="8">
        <v>3</v>
      </c>
      <c r="C40" s="9" t="s">
        <v>46</v>
      </c>
      <c r="D40" s="9" t="s">
        <v>35</v>
      </c>
      <c r="E40" s="9" t="s">
        <v>36</v>
      </c>
      <c r="F40" s="9" t="s">
        <v>37</v>
      </c>
      <c r="G40" s="9" t="s">
        <v>47</v>
      </c>
    </row>
    <row r="41" spans="2:14" ht="18.600000000000001" thickBot="1" x14ac:dyDescent="0.4">
      <c r="B41" s="8">
        <v>7</v>
      </c>
      <c r="C41" s="9" t="s">
        <v>46</v>
      </c>
      <c r="D41" s="9" t="s">
        <v>54</v>
      </c>
      <c r="E41" s="9" t="s">
        <v>55</v>
      </c>
      <c r="F41" s="9" t="s">
        <v>44</v>
      </c>
      <c r="G41" s="9" t="s">
        <v>47</v>
      </c>
    </row>
    <row r="42" spans="2:14" ht="18.600000000000001" thickBot="1" x14ac:dyDescent="0.4">
      <c r="B42" s="8">
        <v>12</v>
      </c>
      <c r="C42" s="9" t="s">
        <v>46</v>
      </c>
      <c r="D42" s="9" t="s">
        <v>51</v>
      </c>
      <c r="E42" s="9" t="s">
        <v>36</v>
      </c>
      <c r="F42" s="9" t="s">
        <v>44</v>
      </c>
      <c r="G42" s="9" t="s">
        <v>47</v>
      </c>
    </row>
    <row r="43" spans="2:14" ht="18.600000000000001" thickBot="1" x14ac:dyDescent="0.4">
      <c r="B43" s="8">
        <v>13</v>
      </c>
      <c r="C43" s="9" t="s">
        <v>46</v>
      </c>
      <c r="D43" s="9" t="s">
        <v>35</v>
      </c>
      <c r="E43" s="9" t="s">
        <v>55</v>
      </c>
      <c r="F43" s="9" t="s">
        <v>37</v>
      </c>
      <c r="G43" s="9" t="s">
        <v>47</v>
      </c>
    </row>
    <row r="44" spans="2:14" ht="18.600000000000001" thickBot="1" x14ac:dyDescent="0.4">
      <c r="I44" s="10" t="s">
        <v>58</v>
      </c>
      <c r="J44" s="10" t="s">
        <v>59</v>
      </c>
      <c r="K44" s="10" t="s">
        <v>60</v>
      </c>
      <c r="L44" s="11" t="s">
        <v>61</v>
      </c>
      <c r="M44" s="5" t="s">
        <v>62</v>
      </c>
      <c r="N44" s="5" t="s">
        <v>63</v>
      </c>
    </row>
    <row r="45" spans="2:14" ht="18.600000000000001" thickBot="1" x14ac:dyDescent="0.4">
      <c r="B45" s="6" t="s">
        <v>23</v>
      </c>
      <c r="C45" s="7" t="s">
        <v>24</v>
      </c>
      <c r="D45" s="7" t="s">
        <v>25</v>
      </c>
      <c r="E45" s="7" t="s">
        <v>26</v>
      </c>
      <c r="F45" s="7" t="s">
        <v>27</v>
      </c>
      <c r="G45" s="27" t="s">
        <v>28</v>
      </c>
      <c r="H45" s="22" t="s">
        <v>70</v>
      </c>
      <c r="I45" s="28"/>
      <c r="J45" s="28"/>
      <c r="K45" s="28"/>
      <c r="L45" s="14"/>
      <c r="M45" s="14">
        <f>(K46/$K$11)*L46+(K47/$K$11)*L47</f>
        <v>0.33963482158310487</v>
      </c>
      <c r="N45" s="29">
        <f>$L$11-M45</f>
        <v>0.60065113708752604</v>
      </c>
    </row>
    <row r="46" spans="2:14" ht="18.600000000000001" thickBot="1" x14ac:dyDescent="0.4">
      <c r="B46" s="8">
        <v>4</v>
      </c>
      <c r="C46" s="9" t="s">
        <v>50</v>
      </c>
      <c r="D46" s="9" t="s">
        <v>51</v>
      </c>
      <c r="E46" s="9" t="s">
        <v>36</v>
      </c>
      <c r="F46" s="9" t="s">
        <v>37</v>
      </c>
      <c r="G46" s="12" t="s">
        <v>47</v>
      </c>
      <c r="H46" s="16" t="s">
        <v>51</v>
      </c>
      <c r="I46" s="3">
        <v>2</v>
      </c>
      <c r="J46" s="3">
        <v>1</v>
      </c>
      <c r="K46" s="5">
        <f t="shared" ref="K46:K47" si="3">I46+J46</f>
        <v>3</v>
      </c>
      <c r="L46" s="5">
        <f t="shared" ref="L46:L47" si="4">((-I46/K46)*LOG(I46/K46,2)-(J46/K46)*LOG(J46/K46,2))</f>
        <v>0.91829583405448956</v>
      </c>
      <c r="N46" s="17"/>
    </row>
    <row r="47" spans="2:14" ht="18.600000000000001" thickBot="1" x14ac:dyDescent="0.4">
      <c r="B47" s="8">
        <v>5</v>
      </c>
      <c r="C47" s="9" t="s">
        <v>50</v>
      </c>
      <c r="D47" s="9" t="s">
        <v>54</v>
      </c>
      <c r="E47" s="9" t="s">
        <v>55</v>
      </c>
      <c r="F47" s="9" t="s">
        <v>37</v>
      </c>
      <c r="G47" s="12" t="s">
        <v>47</v>
      </c>
      <c r="H47" s="16" t="s">
        <v>54</v>
      </c>
      <c r="I47" s="3">
        <v>1</v>
      </c>
      <c r="J47" s="3">
        <v>1</v>
      </c>
      <c r="K47" s="5">
        <f t="shared" si="3"/>
        <v>2</v>
      </c>
      <c r="L47" s="5">
        <f t="shared" si="4"/>
        <v>1</v>
      </c>
      <c r="N47" s="17"/>
    </row>
    <row r="48" spans="2:14" ht="18.600000000000001" thickBot="1" x14ac:dyDescent="0.4">
      <c r="B48" s="8">
        <v>6</v>
      </c>
      <c r="C48" s="9" t="s">
        <v>50</v>
      </c>
      <c r="D48" s="9" t="s">
        <v>54</v>
      </c>
      <c r="E48" s="9" t="s">
        <v>55</v>
      </c>
      <c r="F48" s="9" t="s">
        <v>44</v>
      </c>
      <c r="G48" s="12" t="s">
        <v>38</v>
      </c>
      <c r="H48" s="22" t="s">
        <v>71</v>
      </c>
      <c r="M48" s="5">
        <f>(K49/$K$11)*L49+(K50/$K$11)*L50</f>
        <v>0.33963482158310487</v>
      </c>
      <c r="N48" s="17">
        <f>$L$11-M48</f>
        <v>0.60065113708752604</v>
      </c>
    </row>
    <row r="49" spans="2:22" ht="18.600000000000001" thickBot="1" x14ac:dyDescent="0.4">
      <c r="B49" s="8">
        <v>10</v>
      </c>
      <c r="C49" s="9" t="s">
        <v>50</v>
      </c>
      <c r="D49" s="9" t="s">
        <v>51</v>
      </c>
      <c r="E49" s="9" t="s">
        <v>55</v>
      </c>
      <c r="F49" s="9" t="s">
        <v>37</v>
      </c>
      <c r="G49" s="12" t="s">
        <v>47</v>
      </c>
      <c r="H49" s="21" t="s">
        <v>36</v>
      </c>
      <c r="I49" s="3">
        <v>1</v>
      </c>
      <c r="J49" s="3">
        <v>1</v>
      </c>
      <c r="K49" s="5">
        <f t="shared" ref="K49:K53" si="5">I49+J49</f>
        <v>2</v>
      </c>
      <c r="L49" s="5">
        <f t="shared" ref="L49:L50" si="6">((-I49/K49)*LOG(I49/K49,2)-(J49/K49)*LOG(J49/K49,2))</f>
        <v>1</v>
      </c>
      <c r="N49" s="17"/>
    </row>
    <row r="50" spans="2:22" ht="18.600000000000001" thickBot="1" x14ac:dyDescent="0.4">
      <c r="B50" s="8">
        <v>14</v>
      </c>
      <c r="C50" s="9" t="s">
        <v>50</v>
      </c>
      <c r="D50" s="9" t="s">
        <v>51</v>
      </c>
      <c r="E50" s="9" t="s">
        <v>36</v>
      </c>
      <c r="F50" s="9" t="s">
        <v>44</v>
      </c>
      <c r="G50" s="12" t="s">
        <v>38</v>
      </c>
      <c r="H50" s="21" t="s">
        <v>55</v>
      </c>
      <c r="I50" s="3">
        <v>2</v>
      </c>
      <c r="J50" s="3">
        <v>1</v>
      </c>
      <c r="K50" s="5">
        <f t="shared" si="5"/>
        <v>3</v>
      </c>
      <c r="L50" s="5">
        <f t="shared" si="6"/>
        <v>0.91829583405448956</v>
      </c>
      <c r="N50" s="17"/>
    </row>
    <row r="51" spans="2:22" ht="15" thickBot="1" x14ac:dyDescent="0.35">
      <c r="H51" s="22" t="s">
        <v>72</v>
      </c>
      <c r="M51" s="5">
        <f>(K52/$K$11)*L52+(K53/$K$11)*L53</f>
        <v>0</v>
      </c>
      <c r="N51" s="30">
        <f>$L$11-M51</f>
        <v>0.94028595867063092</v>
      </c>
    </row>
    <row r="52" spans="2:22" x14ac:dyDescent="0.3">
      <c r="H52" s="21" t="s">
        <v>44</v>
      </c>
      <c r="I52" s="3">
        <v>0</v>
      </c>
      <c r="J52" s="3">
        <v>2</v>
      </c>
      <c r="K52" s="5">
        <f t="shared" si="5"/>
        <v>2</v>
      </c>
      <c r="L52" s="5">
        <v>0</v>
      </c>
      <c r="N52" s="17"/>
    </row>
    <row r="53" spans="2:22" ht="15" thickBot="1" x14ac:dyDescent="0.35">
      <c r="H53" s="23" t="s">
        <v>37</v>
      </c>
      <c r="I53" s="31">
        <v>3</v>
      </c>
      <c r="J53" s="31">
        <v>0</v>
      </c>
      <c r="K53" s="24">
        <f t="shared" si="5"/>
        <v>3</v>
      </c>
      <c r="L53" s="24">
        <v>0</v>
      </c>
      <c r="M53" s="24"/>
      <c r="N53" s="25"/>
    </row>
    <row r="56" spans="2:22" x14ac:dyDescent="0.3">
      <c r="H56" s="26" t="s">
        <v>73</v>
      </c>
    </row>
    <row r="57" spans="2:22" x14ac:dyDescent="0.3">
      <c r="H57" s="26" t="s">
        <v>3</v>
      </c>
      <c r="I57" s="3">
        <v>243</v>
      </c>
      <c r="T57" s="32" t="s">
        <v>74</v>
      </c>
      <c r="U57" s="32" t="s">
        <v>75</v>
      </c>
      <c r="V57" s="32" t="s">
        <v>76</v>
      </c>
    </row>
    <row r="58" spans="2:22" ht="27.6" x14ac:dyDescent="0.3">
      <c r="H58" s="26" t="s">
        <v>4</v>
      </c>
      <c r="I58" s="3">
        <v>89</v>
      </c>
      <c r="T58" s="33" t="s">
        <v>77</v>
      </c>
      <c r="U58" s="33" t="s">
        <v>78</v>
      </c>
      <c r="V58" s="33" t="s">
        <v>79</v>
      </c>
    </row>
    <row r="59" spans="2:22" ht="27.6" x14ac:dyDescent="0.3">
      <c r="H59" s="26" t="s">
        <v>80</v>
      </c>
      <c r="I59" s="3">
        <f>SUM(I57:I58)</f>
        <v>332</v>
      </c>
      <c r="T59" s="34" t="s">
        <v>81</v>
      </c>
      <c r="U59" s="34" t="s">
        <v>82</v>
      </c>
      <c r="V59" s="34" t="s">
        <v>83</v>
      </c>
    </row>
    <row r="60" spans="2:22" x14ac:dyDescent="0.3">
      <c r="H60" s="26" t="s">
        <v>73</v>
      </c>
      <c r="I60" s="3">
        <f>1 - ((I57/I59)^2+(I58/I59)^2)</f>
        <v>0.39241907388590502</v>
      </c>
    </row>
    <row r="61" spans="2:22" x14ac:dyDescent="0.3">
      <c r="H61" s="35" t="s">
        <v>84</v>
      </c>
      <c r="I61" s="35"/>
      <c r="T61" s="3" t="s">
        <v>85</v>
      </c>
    </row>
    <row r="62" spans="2:22" ht="15.6" x14ac:dyDescent="0.3">
      <c r="T62" s="36" t="s">
        <v>86</v>
      </c>
    </row>
    <row r="63" spans="2:22" ht="16.2" thickBot="1" x14ac:dyDescent="0.35">
      <c r="T63" s="36" t="s">
        <v>87</v>
      </c>
    </row>
    <row r="64" spans="2:22" ht="18.600000000000001" thickBot="1" x14ac:dyDescent="0.35">
      <c r="B64" s="37" t="s">
        <v>88</v>
      </c>
      <c r="C64" s="38" t="s">
        <v>24</v>
      </c>
      <c r="D64" s="38" t="s">
        <v>25</v>
      </c>
      <c r="E64" s="38" t="s">
        <v>26</v>
      </c>
      <c r="F64" s="38" t="s">
        <v>27</v>
      </c>
      <c r="G64" s="38" t="s">
        <v>28</v>
      </c>
      <c r="T64" s="36" t="s">
        <v>89</v>
      </c>
    </row>
    <row r="65" spans="2:7" ht="18.600000000000001" thickBot="1" x14ac:dyDescent="0.35">
      <c r="B65" s="19">
        <v>1</v>
      </c>
      <c r="C65" s="20" t="s">
        <v>34</v>
      </c>
      <c r="D65" s="20" t="s">
        <v>51</v>
      </c>
      <c r="E65" s="20" t="s">
        <v>55</v>
      </c>
      <c r="F65" s="20" t="s">
        <v>37</v>
      </c>
      <c r="G65" s="20" t="s">
        <v>47</v>
      </c>
    </row>
    <row r="66" spans="2:7" ht="18.600000000000001" thickBot="1" x14ac:dyDescent="0.35">
      <c r="B66" s="19">
        <v>2</v>
      </c>
      <c r="C66" s="20" t="s">
        <v>50</v>
      </c>
      <c r="D66" s="20" t="s">
        <v>35</v>
      </c>
      <c r="E66" s="20" t="s">
        <v>36</v>
      </c>
      <c r="F66" s="20" t="s">
        <v>44</v>
      </c>
      <c r="G66" s="20" t="s">
        <v>38</v>
      </c>
    </row>
  </sheetData>
  <mergeCells count="1">
    <mergeCell ref="H61:I61"/>
  </mergeCells>
  <conditionalFormatting sqref="X4:AC17">
    <cfRule type="expression" dxfId="11" priority="1">
      <formula>$AC4="No - 0"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0CB0-199E-4B46-B223-85E94BF7FC38}">
  <dimension ref="A1:M16"/>
  <sheetViews>
    <sheetView zoomScale="115" zoomScaleNormal="115" workbookViewId="0">
      <selection activeCell="L3" sqref="L3"/>
    </sheetView>
  </sheetViews>
  <sheetFormatPr defaultRowHeight="14.4" x14ac:dyDescent="0.3"/>
  <cols>
    <col min="1" max="1" width="3.77734375" style="3" bestFit="1" customWidth="1"/>
    <col min="2" max="2" width="11.5546875" style="3" bestFit="1" customWidth="1"/>
    <col min="3" max="3" width="11.109375" style="3" bestFit="1" customWidth="1"/>
    <col min="4" max="4" width="8.88671875" style="3" bestFit="1" customWidth="1"/>
    <col min="5" max="5" width="10.33203125" style="3" customWidth="1"/>
    <col min="6" max="6" width="5" style="3" bestFit="1" customWidth="1"/>
    <col min="7" max="7" width="10.21875" style="3" bestFit="1" customWidth="1"/>
    <col min="8" max="8" width="5" style="3" bestFit="1" customWidth="1"/>
    <col min="9" max="9" width="8.88671875" style="3"/>
    <col min="10" max="10" width="11.77734375" style="3" bestFit="1" customWidth="1"/>
    <col min="11" max="11" width="11.21875" style="3" bestFit="1" customWidth="1"/>
    <col min="12" max="12" width="7.88671875" style="3" bestFit="1" customWidth="1"/>
    <col min="13" max="16384" width="8.88671875" style="3"/>
  </cols>
  <sheetData>
    <row r="1" spans="1:13" ht="29.4" thickBot="1" x14ac:dyDescent="0.35">
      <c r="A1" s="83" t="s">
        <v>106</v>
      </c>
      <c r="B1" s="84" t="s">
        <v>107</v>
      </c>
      <c r="C1" s="85" t="s">
        <v>108</v>
      </c>
      <c r="D1" s="86" t="s">
        <v>102</v>
      </c>
      <c r="E1" s="58" t="s">
        <v>96</v>
      </c>
      <c r="F1" s="86" t="s">
        <v>97</v>
      </c>
      <c r="G1" s="87" t="s">
        <v>98</v>
      </c>
      <c r="H1" s="86" t="s">
        <v>97</v>
      </c>
      <c r="J1" s="88" t="s">
        <v>101</v>
      </c>
      <c r="K1" s="88"/>
      <c r="L1" s="88"/>
    </row>
    <row r="2" spans="1:13" x14ac:dyDescent="0.3">
      <c r="A2" s="89">
        <v>1</v>
      </c>
      <c r="B2" s="90">
        <v>5.0999999999999996</v>
      </c>
      <c r="C2" s="91">
        <v>3.5</v>
      </c>
      <c r="D2" s="92" t="s">
        <v>100</v>
      </c>
      <c r="E2" s="93"/>
      <c r="F2" s="94"/>
      <c r="G2" s="90"/>
      <c r="H2" s="92"/>
      <c r="J2" s="66" t="s">
        <v>107</v>
      </c>
      <c r="K2" s="66" t="s">
        <v>108</v>
      </c>
      <c r="L2" s="66" t="s">
        <v>102</v>
      </c>
    </row>
    <row r="3" spans="1:13" x14ac:dyDescent="0.3">
      <c r="A3" s="95">
        <v>2</v>
      </c>
      <c r="B3" s="96">
        <v>4.9000000000000004</v>
      </c>
      <c r="C3" s="53">
        <v>3</v>
      </c>
      <c r="D3" s="54" t="s">
        <v>100</v>
      </c>
      <c r="E3" s="97"/>
      <c r="F3" s="98"/>
      <c r="G3" s="96"/>
      <c r="H3" s="54"/>
      <c r="J3" s="3">
        <v>6.3</v>
      </c>
      <c r="K3" s="3">
        <v>3</v>
      </c>
      <c r="L3" s="99"/>
      <c r="M3" s="66" t="s">
        <v>103</v>
      </c>
    </row>
    <row r="4" spans="1:13" x14ac:dyDescent="0.3">
      <c r="A4" s="95">
        <v>3</v>
      </c>
      <c r="B4" s="96">
        <v>4.7</v>
      </c>
      <c r="C4" s="53">
        <v>3.2</v>
      </c>
      <c r="D4" s="54" t="s">
        <v>100</v>
      </c>
      <c r="E4" s="97"/>
      <c r="F4" s="98"/>
      <c r="G4" s="96"/>
      <c r="H4" s="54"/>
    </row>
    <row r="5" spans="1:13" x14ac:dyDescent="0.3">
      <c r="A5" s="95">
        <v>4</v>
      </c>
      <c r="B5" s="96">
        <v>4.5999999999999996</v>
      </c>
      <c r="C5" s="53">
        <v>3.1</v>
      </c>
      <c r="D5" s="54" t="s">
        <v>100</v>
      </c>
      <c r="E5" s="97"/>
      <c r="F5" s="98"/>
      <c r="G5" s="96"/>
      <c r="H5" s="54"/>
    </row>
    <row r="6" spans="1:13" x14ac:dyDescent="0.3">
      <c r="A6" s="95">
        <v>5</v>
      </c>
      <c r="B6" s="96">
        <v>5</v>
      </c>
      <c r="C6" s="53">
        <v>3.6</v>
      </c>
      <c r="D6" s="54" t="s">
        <v>100</v>
      </c>
      <c r="E6" s="97"/>
      <c r="F6" s="98"/>
      <c r="G6" s="96"/>
      <c r="H6" s="54"/>
    </row>
    <row r="7" spans="1:13" x14ac:dyDescent="0.3">
      <c r="A7" s="95">
        <v>6</v>
      </c>
      <c r="B7" s="96">
        <v>5.5</v>
      </c>
      <c r="C7" s="53">
        <v>2.2999999999999998</v>
      </c>
      <c r="D7" s="54" t="s">
        <v>104</v>
      </c>
      <c r="E7" s="97"/>
      <c r="F7" s="98"/>
      <c r="G7" s="96"/>
      <c r="H7" s="54"/>
    </row>
    <row r="8" spans="1:13" x14ac:dyDescent="0.3">
      <c r="A8" s="95">
        <v>7</v>
      </c>
      <c r="B8" s="96">
        <v>6.5</v>
      </c>
      <c r="C8" s="53">
        <v>2.8</v>
      </c>
      <c r="D8" s="54" t="s">
        <v>104</v>
      </c>
      <c r="E8" s="97"/>
      <c r="F8" s="98"/>
      <c r="G8" s="96"/>
      <c r="H8" s="54"/>
    </row>
    <row r="9" spans="1:13" x14ac:dyDescent="0.3">
      <c r="A9" s="95">
        <v>8</v>
      </c>
      <c r="B9" s="96">
        <v>5.7</v>
      </c>
      <c r="C9" s="53">
        <v>2.8</v>
      </c>
      <c r="D9" s="54" t="s">
        <v>104</v>
      </c>
      <c r="E9" s="97"/>
      <c r="F9" s="98"/>
      <c r="G9" s="96"/>
      <c r="H9" s="54"/>
    </row>
    <row r="10" spans="1:13" x14ac:dyDescent="0.3">
      <c r="A10" s="95">
        <v>9</v>
      </c>
      <c r="B10" s="96">
        <v>6.3</v>
      </c>
      <c r="C10" s="53">
        <v>3.3</v>
      </c>
      <c r="D10" s="54" t="s">
        <v>104</v>
      </c>
      <c r="E10" s="97"/>
      <c r="F10" s="98"/>
      <c r="G10" s="96"/>
      <c r="H10" s="54"/>
    </row>
    <row r="11" spans="1:13" x14ac:dyDescent="0.3">
      <c r="A11" s="95">
        <v>10</v>
      </c>
      <c r="B11" s="96">
        <v>4.9000000000000004</v>
      </c>
      <c r="C11" s="53">
        <v>2.4</v>
      </c>
      <c r="D11" s="54" t="s">
        <v>104</v>
      </c>
      <c r="E11" s="97"/>
      <c r="F11" s="98"/>
      <c r="G11" s="96"/>
      <c r="H11" s="54"/>
    </row>
    <row r="12" spans="1:13" x14ac:dyDescent="0.3">
      <c r="A12" s="95">
        <v>11</v>
      </c>
      <c r="B12" s="96">
        <v>7.2</v>
      </c>
      <c r="C12" s="53">
        <v>3.6</v>
      </c>
      <c r="D12" s="54" t="s">
        <v>105</v>
      </c>
      <c r="E12" s="97"/>
      <c r="F12" s="98"/>
      <c r="G12" s="96"/>
      <c r="H12" s="54"/>
    </row>
    <row r="13" spans="1:13" x14ac:dyDescent="0.3">
      <c r="A13" s="95">
        <v>12</v>
      </c>
      <c r="B13" s="96">
        <v>6.5</v>
      </c>
      <c r="C13" s="53">
        <v>3.2</v>
      </c>
      <c r="D13" s="54" t="s">
        <v>105</v>
      </c>
      <c r="E13" s="97"/>
      <c r="F13" s="98"/>
      <c r="G13" s="96"/>
      <c r="H13" s="54"/>
    </row>
    <row r="14" spans="1:13" x14ac:dyDescent="0.3">
      <c r="A14" s="95">
        <v>13</v>
      </c>
      <c r="B14" s="96">
        <v>6.4</v>
      </c>
      <c r="C14" s="53">
        <v>2.7</v>
      </c>
      <c r="D14" s="54" t="s">
        <v>105</v>
      </c>
      <c r="E14" s="97"/>
      <c r="F14" s="98"/>
      <c r="G14" s="96"/>
      <c r="H14" s="54"/>
    </row>
    <row r="15" spans="1:13" x14ac:dyDescent="0.3">
      <c r="A15" s="95">
        <v>14</v>
      </c>
      <c r="B15" s="96">
        <v>6.8</v>
      </c>
      <c r="C15" s="53">
        <v>3</v>
      </c>
      <c r="D15" s="54" t="s">
        <v>105</v>
      </c>
      <c r="E15" s="97"/>
      <c r="F15" s="98"/>
      <c r="G15" s="96"/>
      <c r="H15" s="54"/>
    </row>
    <row r="16" spans="1:13" ht="15" thickBot="1" x14ac:dyDescent="0.35">
      <c r="A16" s="100">
        <v>15</v>
      </c>
      <c r="B16" s="101">
        <v>5.7</v>
      </c>
      <c r="C16" s="102">
        <v>2.5</v>
      </c>
      <c r="D16" s="103" t="s">
        <v>105</v>
      </c>
      <c r="E16" s="104"/>
      <c r="F16" s="105"/>
      <c r="G16" s="101"/>
      <c r="H16" s="103"/>
    </row>
  </sheetData>
  <mergeCells count="1">
    <mergeCell ref="J1:L1"/>
  </mergeCell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F4D8-DF5B-482C-8B47-2C44593E62EE}">
  <dimension ref="A1:Q151"/>
  <sheetViews>
    <sheetView topLeftCell="B1" workbookViewId="0">
      <selection activeCell="L11" sqref="L11"/>
    </sheetView>
  </sheetViews>
  <sheetFormatPr defaultRowHeight="14.4" x14ac:dyDescent="0.3"/>
  <cols>
    <col min="1" max="1" width="8.88671875" style="3"/>
    <col min="2" max="2" width="13.44140625" style="3" customWidth="1"/>
    <col min="3" max="3" width="13" style="3" customWidth="1"/>
    <col min="4" max="4" width="13.33203125" style="3" customWidth="1"/>
    <col min="5" max="5" width="12.88671875" style="3" customWidth="1"/>
    <col min="6" max="6" width="8.77734375" style="3" customWidth="1"/>
    <col min="7" max="8" width="8.88671875" style="3"/>
    <col min="9" max="9" width="10.21875" style="3" customWidth="1"/>
    <col min="10" max="11" width="8.88671875" style="3"/>
    <col min="12" max="12" width="11.44140625" style="3" bestFit="1" customWidth="1"/>
    <col min="13" max="13" width="11" style="3" bestFit="1" customWidth="1"/>
    <col min="14" max="14" width="11.33203125" style="3" bestFit="1" customWidth="1"/>
    <col min="15" max="15" width="10.88671875" style="3" bestFit="1" customWidth="1"/>
    <col min="16" max="16" width="9.21875" style="3" bestFit="1" customWidth="1"/>
    <col min="17" max="16384" width="8.88671875" style="3"/>
  </cols>
  <sheetData>
    <row r="1" spans="1:17" ht="43.8" thickBot="1" x14ac:dyDescent="0.35">
      <c r="A1" s="39" t="s">
        <v>90</v>
      </c>
      <c r="B1" s="40" t="s">
        <v>91</v>
      </c>
      <c r="C1" s="40" t="s">
        <v>92</v>
      </c>
      <c r="D1" s="40" t="s">
        <v>93</v>
      </c>
      <c r="E1" s="40" t="s">
        <v>94</v>
      </c>
      <c r="F1" s="40" t="s">
        <v>95</v>
      </c>
      <c r="G1" s="40" t="s">
        <v>96</v>
      </c>
      <c r="H1" s="41" t="s">
        <v>97</v>
      </c>
      <c r="I1" s="39" t="s">
        <v>98</v>
      </c>
      <c r="J1" s="42" t="s">
        <v>99</v>
      </c>
    </row>
    <row r="2" spans="1:17" ht="15" thickBot="1" x14ac:dyDescent="0.35">
      <c r="A2" s="43">
        <v>1</v>
      </c>
      <c r="B2" s="44">
        <v>5.0999999999999996</v>
      </c>
      <c r="C2" s="45">
        <v>3.5</v>
      </c>
      <c r="D2" s="45">
        <v>1.4</v>
      </c>
      <c r="E2" s="45">
        <v>0.2</v>
      </c>
      <c r="F2" s="46" t="s">
        <v>100</v>
      </c>
      <c r="G2" s="47"/>
      <c r="H2" s="46"/>
      <c r="I2" s="48"/>
      <c r="J2" s="49"/>
      <c r="L2" s="50" t="s">
        <v>101</v>
      </c>
      <c r="M2" s="50"/>
      <c r="N2" s="50"/>
      <c r="O2" s="50"/>
      <c r="P2" s="50"/>
    </row>
    <row r="3" spans="1:17" s="81" customFormat="1" ht="15" thickBot="1" x14ac:dyDescent="0.35">
      <c r="A3" s="74">
        <v>2</v>
      </c>
      <c r="B3" s="75">
        <v>4.9000000000000004</v>
      </c>
      <c r="C3" s="76">
        <v>3</v>
      </c>
      <c r="D3" s="76">
        <v>1.4</v>
      </c>
      <c r="E3" s="76">
        <v>0.2</v>
      </c>
      <c r="F3" s="77" t="s">
        <v>100</v>
      </c>
      <c r="G3" s="78"/>
      <c r="H3" s="77"/>
      <c r="I3" s="79"/>
      <c r="J3" s="80"/>
      <c r="L3" s="58" t="s">
        <v>91</v>
      </c>
      <c r="M3" s="59" t="s">
        <v>92</v>
      </c>
      <c r="N3" s="59" t="s">
        <v>93</v>
      </c>
      <c r="O3" s="60" t="s">
        <v>94</v>
      </c>
      <c r="P3" s="82" t="s">
        <v>102</v>
      </c>
    </row>
    <row r="4" spans="1:17" ht="15" thickBot="1" x14ac:dyDescent="0.35">
      <c r="A4" s="51">
        <v>3</v>
      </c>
      <c r="B4" s="52">
        <v>4.7</v>
      </c>
      <c r="C4" s="53">
        <v>3.2</v>
      </c>
      <c r="D4" s="53">
        <v>1.3</v>
      </c>
      <c r="E4" s="53">
        <v>0.2</v>
      </c>
      <c r="F4" s="54" t="s">
        <v>100</v>
      </c>
      <c r="G4" s="55"/>
      <c r="H4" s="54"/>
      <c r="I4" s="56"/>
      <c r="J4" s="57"/>
      <c r="L4" s="62">
        <v>6.7</v>
      </c>
      <c r="M4" s="63">
        <v>2.75</v>
      </c>
      <c r="N4" s="63">
        <v>4.0999999999999996</v>
      </c>
      <c r="O4" s="64">
        <v>1.5</v>
      </c>
      <c r="P4" s="65"/>
      <c r="Q4" s="66" t="s">
        <v>103</v>
      </c>
    </row>
    <row r="5" spans="1:17" x14ac:dyDescent="0.3">
      <c r="A5" s="51">
        <v>4</v>
      </c>
      <c r="B5" s="52">
        <v>4.5999999999999996</v>
      </c>
      <c r="C5" s="53">
        <v>3.1</v>
      </c>
      <c r="D5" s="53">
        <v>1.5</v>
      </c>
      <c r="E5" s="53">
        <v>0.2</v>
      </c>
      <c r="F5" s="54" t="s">
        <v>100</v>
      </c>
      <c r="G5" s="55"/>
      <c r="H5" s="54"/>
      <c r="I5" s="56"/>
      <c r="J5" s="57"/>
    </row>
    <row r="6" spans="1:17" x14ac:dyDescent="0.3">
      <c r="A6" s="51">
        <v>5</v>
      </c>
      <c r="B6" s="52">
        <v>5</v>
      </c>
      <c r="C6" s="53">
        <v>3.6</v>
      </c>
      <c r="D6" s="53">
        <v>1.4</v>
      </c>
      <c r="E6" s="53">
        <v>0.2</v>
      </c>
      <c r="F6" s="54" t="s">
        <v>100</v>
      </c>
      <c r="G6" s="55"/>
      <c r="H6" s="54"/>
      <c r="I6" s="56"/>
      <c r="J6" s="57"/>
    </row>
    <row r="7" spans="1:17" x14ac:dyDescent="0.3">
      <c r="A7" s="51">
        <v>6</v>
      </c>
      <c r="B7" s="52">
        <v>5.4</v>
      </c>
      <c r="C7" s="53">
        <v>3.9</v>
      </c>
      <c r="D7" s="53">
        <v>1.7</v>
      </c>
      <c r="E7" s="53">
        <v>0.4</v>
      </c>
      <c r="F7" s="54" t="s">
        <v>100</v>
      </c>
      <c r="G7" s="55"/>
      <c r="H7" s="54"/>
      <c r="I7" s="56"/>
      <c r="J7" s="57"/>
    </row>
    <row r="8" spans="1:17" x14ac:dyDescent="0.3">
      <c r="A8" s="51">
        <v>7</v>
      </c>
      <c r="B8" s="52">
        <v>4.5999999999999996</v>
      </c>
      <c r="C8" s="53">
        <v>3.4</v>
      </c>
      <c r="D8" s="53">
        <v>1.4</v>
      </c>
      <c r="E8" s="53">
        <v>0.3</v>
      </c>
      <c r="F8" s="54" t="s">
        <v>100</v>
      </c>
      <c r="G8" s="55"/>
      <c r="H8" s="54"/>
      <c r="I8" s="56"/>
      <c r="J8" s="57"/>
    </row>
    <row r="9" spans="1:17" x14ac:dyDescent="0.3">
      <c r="A9" s="51">
        <v>8</v>
      </c>
      <c r="B9" s="52">
        <v>5</v>
      </c>
      <c r="C9" s="53">
        <v>3.4</v>
      </c>
      <c r="D9" s="53">
        <v>1.5</v>
      </c>
      <c r="E9" s="53">
        <v>0.2</v>
      </c>
      <c r="F9" s="54" t="s">
        <v>100</v>
      </c>
      <c r="G9" s="55"/>
      <c r="H9" s="54"/>
      <c r="I9" s="56"/>
      <c r="J9" s="57"/>
    </row>
    <row r="10" spans="1:17" x14ac:dyDescent="0.3">
      <c r="A10" s="51">
        <v>9</v>
      </c>
      <c r="B10" s="52">
        <v>4.4000000000000004</v>
      </c>
      <c r="C10" s="53">
        <v>2.9</v>
      </c>
      <c r="D10" s="53">
        <v>1.4</v>
      </c>
      <c r="E10" s="53">
        <v>0.2</v>
      </c>
      <c r="F10" s="54" t="s">
        <v>100</v>
      </c>
      <c r="G10" s="55"/>
      <c r="H10" s="54"/>
      <c r="I10" s="56"/>
      <c r="J10" s="57"/>
    </row>
    <row r="11" spans="1:17" x14ac:dyDescent="0.3">
      <c r="A11" s="51">
        <v>10</v>
      </c>
      <c r="B11" s="52">
        <v>4.9000000000000004</v>
      </c>
      <c r="C11" s="53">
        <v>3.1</v>
      </c>
      <c r="D11" s="53">
        <v>1.5</v>
      </c>
      <c r="E11" s="53">
        <v>0.1</v>
      </c>
      <c r="F11" s="54" t="s">
        <v>100</v>
      </c>
      <c r="G11" s="55"/>
      <c r="H11" s="54"/>
      <c r="I11" s="56"/>
      <c r="J11" s="57"/>
    </row>
    <row r="12" spans="1:17" x14ac:dyDescent="0.3">
      <c r="A12" s="51">
        <v>11</v>
      </c>
      <c r="B12" s="52">
        <v>5.4</v>
      </c>
      <c r="C12" s="53">
        <v>3.7</v>
      </c>
      <c r="D12" s="53">
        <v>1.5</v>
      </c>
      <c r="E12" s="53">
        <v>0.2</v>
      </c>
      <c r="F12" s="54" t="s">
        <v>100</v>
      </c>
      <c r="G12" s="55"/>
      <c r="H12" s="54"/>
      <c r="I12" s="56"/>
      <c r="J12" s="57"/>
    </row>
    <row r="13" spans="1:17" x14ac:dyDescent="0.3">
      <c r="A13" s="51">
        <v>12</v>
      </c>
      <c r="B13" s="52">
        <v>4.8</v>
      </c>
      <c r="C13" s="53">
        <v>3.4</v>
      </c>
      <c r="D13" s="53">
        <v>1.6</v>
      </c>
      <c r="E13" s="53">
        <v>0.2</v>
      </c>
      <c r="F13" s="54" t="s">
        <v>100</v>
      </c>
      <c r="G13" s="55"/>
      <c r="H13" s="54"/>
      <c r="I13" s="56"/>
      <c r="J13" s="57"/>
    </row>
    <row r="14" spans="1:17" x14ac:dyDescent="0.3">
      <c r="A14" s="51">
        <v>13</v>
      </c>
      <c r="B14" s="52">
        <v>4.8</v>
      </c>
      <c r="C14" s="53">
        <v>3</v>
      </c>
      <c r="D14" s="53">
        <v>1.4</v>
      </c>
      <c r="E14" s="53">
        <v>0.1</v>
      </c>
      <c r="F14" s="54" t="s">
        <v>100</v>
      </c>
      <c r="G14" s="55"/>
      <c r="H14" s="54"/>
      <c r="I14" s="56"/>
      <c r="J14" s="57"/>
    </row>
    <row r="15" spans="1:17" x14ac:dyDescent="0.3">
      <c r="A15" s="51">
        <v>14</v>
      </c>
      <c r="B15" s="52">
        <v>4.3</v>
      </c>
      <c r="C15" s="53">
        <v>3</v>
      </c>
      <c r="D15" s="53">
        <v>1.1000000000000001</v>
      </c>
      <c r="E15" s="53">
        <v>0.1</v>
      </c>
      <c r="F15" s="54" t="s">
        <v>100</v>
      </c>
      <c r="G15" s="55"/>
      <c r="H15" s="54"/>
      <c r="I15" s="56"/>
      <c r="J15" s="57"/>
    </row>
    <row r="16" spans="1:17" x14ac:dyDescent="0.3">
      <c r="A16" s="51">
        <v>15</v>
      </c>
      <c r="B16" s="52">
        <v>5.8</v>
      </c>
      <c r="C16" s="53">
        <v>4</v>
      </c>
      <c r="D16" s="53">
        <v>1.2</v>
      </c>
      <c r="E16" s="53">
        <v>0.2</v>
      </c>
      <c r="F16" s="54" t="s">
        <v>100</v>
      </c>
      <c r="G16" s="55"/>
      <c r="H16" s="54"/>
      <c r="I16" s="56"/>
      <c r="J16" s="57"/>
    </row>
    <row r="17" spans="1:10" x14ac:dyDescent="0.3">
      <c r="A17" s="51">
        <v>16</v>
      </c>
      <c r="B17" s="52">
        <v>5.7</v>
      </c>
      <c r="C17" s="53">
        <v>4.4000000000000004</v>
      </c>
      <c r="D17" s="53">
        <v>1.5</v>
      </c>
      <c r="E17" s="53">
        <v>0.4</v>
      </c>
      <c r="F17" s="54" t="s">
        <v>100</v>
      </c>
      <c r="G17" s="55"/>
      <c r="H17" s="54"/>
      <c r="I17" s="56"/>
      <c r="J17" s="57"/>
    </row>
    <row r="18" spans="1:10" x14ac:dyDescent="0.3">
      <c r="A18" s="51">
        <v>17</v>
      </c>
      <c r="B18" s="52">
        <v>5.4</v>
      </c>
      <c r="C18" s="53">
        <v>3.9</v>
      </c>
      <c r="D18" s="53">
        <v>1.3</v>
      </c>
      <c r="E18" s="53">
        <v>0.4</v>
      </c>
      <c r="F18" s="54" t="s">
        <v>100</v>
      </c>
      <c r="G18" s="55"/>
      <c r="H18" s="54"/>
      <c r="I18" s="56"/>
      <c r="J18" s="57"/>
    </row>
    <row r="19" spans="1:10" x14ac:dyDescent="0.3">
      <c r="A19" s="51">
        <v>18</v>
      </c>
      <c r="B19" s="52">
        <v>5.0999999999999996</v>
      </c>
      <c r="C19" s="53">
        <v>3.5</v>
      </c>
      <c r="D19" s="53">
        <v>1.4</v>
      </c>
      <c r="E19" s="53">
        <v>0.3</v>
      </c>
      <c r="F19" s="54" t="s">
        <v>100</v>
      </c>
      <c r="G19" s="55"/>
      <c r="H19" s="54"/>
      <c r="I19" s="56"/>
      <c r="J19" s="57"/>
    </row>
    <row r="20" spans="1:10" x14ac:dyDescent="0.3">
      <c r="A20" s="51">
        <v>19</v>
      </c>
      <c r="B20" s="52">
        <v>5.7</v>
      </c>
      <c r="C20" s="53">
        <v>3.8</v>
      </c>
      <c r="D20" s="53">
        <v>1.7</v>
      </c>
      <c r="E20" s="53">
        <v>0.3</v>
      </c>
      <c r="F20" s="54" t="s">
        <v>100</v>
      </c>
      <c r="G20" s="55"/>
      <c r="H20" s="54"/>
      <c r="I20" s="56"/>
      <c r="J20" s="57"/>
    </row>
    <row r="21" spans="1:10" x14ac:dyDescent="0.3">
      <c r="A21" s="51">
        <v>20</v>
      </c>
      <c r="B21" s="52">
        <v>5.0999999999999996</v>
      </c>
      <c r="C21" s="53">
        <v>3.8</v>
      </c>
      <c r="D21" s="53">
        <v>1.5</v>
      </c>
      <c r="E21" s="53">
        <v>0.3</v>
      </c>
      <c r="F21" s="54" t="s">
        <v>100</v>
      </c>
      <c r="G21" s="55"/>
      <c r="H21" s="54"/>
      <c r="I21" s="56"/>
      <c r="J21" s="57"/>
    </row>
    <row r="22" spans="1:10" x14ac:dyDescent="0.3">
      <c r="A22" s="51">
        <v>21</v>
      </c>
      <c r="B22" s="52">
        <v>5.4</v>
      </c>
      <c r="C22" s="53">
        <v>3.4</v>
      </c>
      <c r="D22" s="53">
        <v>1.7</v>
      </c>
      <c r="E22" s="53">
        <v>0.2</v>
      </c>
      <c r="F22" s="54" t="s">
        <v>100</v>
      </c>
      <c r="G22" s="55"/>
      <c r="H22" s="54"/>
      <c r="I22" s="56"/>
      <c r="J22" s="57"/>
    </row>
    <row r="23" spans="1:10" x14ac:dyDescent="0.3">
      <c r="A23" s="51">
        <v>22</v>
      </c>
      <c r="B23" s="52">
        <v>5.0999999999999996</v>
      </c>
      <c r="C23" s="53">
        <v>3.7</v>
      </c>
      <c r="D23" s="53">
        <v>1.5</v>
      </c>
      <c r="E23" s="53">
        <v>0.4</v>
      </c>
      <c r="F23" s="54" t="s">
        <v>100</v>
      </c>
      <c r="G23" s="55"/>
      <c r="H23" s="54"/>
      <c r="I23" s="56"/>
      <c r="J23" s="57"/>
    </row>
    <row r="24" spans="1:10" x14ac:dyDescent="0.3">
      <c r="A24" s="51">
        <v>23</v>
      </c>
      <c r="B24" s="52">
        <v>4.5999999999999996</v>
      </c>
      <c r="C24" s="53">
        <v>3.6</v>
      </c>
      <c r="D24" s="53">
        <v>1</v>
      </c>
      <c r="E24" s="53">
        <v>0.2</v>
      </c>
      <c r="F24" s="54" t="s">
        <v>100</v>
      </c>
      <c r="G24" s="55"/>
      <c r="H24" s="54"/>
      <c r="I24" s="56"/>
      <c r="J24" s="57"/>
    </row>
    <row r="25" spans="1:10" x14ac:dyDescent="0.3">
      <c r="A25" s="51">
        <v>24</v>
      </c>
      <c r="B25" s="52">
        <v>5.0999999999999996</v>
      </c>
      <c r="C25" s="53">
        <v>3.3</v>
      </c>
      <c r="D25" s="53">
        <v>1.7</v>
      </c>
      <c r="E25" s="53">
        <v>0.5</v>
      </c>
      <c r="F25" s="54" t="s">
        <v>100</v>
      </c>
      <c r="G25" s="55"/>
      <c r="H25" s="54"/>
      <c r="I25" s="56"/>
      <c r="J25" s="57"/>
    </row>
    <row r="26" spans="1:10" x14ac:dyDescent="0.3">
      <c r="A26" s="51">
        <v>25</v>
      </c>
      <c r="B26" s="52">
        <v>4.8</v>
      </c>
      <c r="C26" s="53">
        <v>3.4</v>
      </c>
      <c r="D26" s="53">
        <v>1.9</v>
      </c>
      <c r="E26" s="53">
        <v>0.2</v>
      </c>
      <c r="F26" s="54" t="s">
        <v>100</v>
      </c>
      <c r="G26" s="55"/>
      <c r="H26" s="54"/>
      <c r="I26" s="56"/>
      <c r="J26" s="57"/>
    </row>
    <row r="27" spans="1:10" x14ac:dyDescent="0.3">
      <c r="A27" s="51">
        <v>26</v>
      </c>
      <c r="B27" s="52">
        <v>5</v>
      </c>
      <c r="C27" s="53">
        <v>3</v>
      </c>
      <c r="D27" s="53">
        <v>1.6</v>
      </c>
      <c r="E27" s="53">
        <v>0.2</v>
      </c>
      <c r="F27" s="54" t="s">
        <v>100</v>
      </c>
      <c r="G27" s="55"/>
      <c r="H27" s="54"/>
      <c r="I27" s="56"/>
      <c r="J27" s="57"/>
    </row>
    <row r="28" spans="1:10" x14ac:dyDescent="0.3">
      <c r="A28" s="51">
        <v>27</v>
      </c>
      <c r="B28" s="52">
        <v>5</v>
      </c>
      <c r="C28" s="53">
        <v>3.4</v>
      </c>
      <c r="D28" s="53">
        <v>1.6</v>
      </c>
      <c r="E28" s="53">
        <v>0.4</v>
      </c>
      <c r="F28" s="54" t="s">
        <v>100</v>
      </c>
      <c r="G28" s="55"/>
      <c r="H28" s="54"/>
      <c r="I28" s="56"/>
      <c r="J28" s="57"/>
    </row>
    <row r="29" spans="1:10" x14ac:dyDescent="0.3">
      <c r="A29" s="51">
        <v>28</v>
      </c>
      <c r="B29" s="52">
        <v>5.2</v>
      </c>
      <c r="C29" s="53">
        <v>3.5</v>
      </c>
      <c r="D29" s="53">
        <v>1.5</v>
      </c>
      <c r="E29" s="53">
        <v>0.2</v>
      </c>
      <c r="F29" s="54" t="s">
        <v>100</v>
      </c>
      <c r="G29" s="55"/>
      <c r="H29" s="54"/>
      <c r="I29" s="56"/>
      <c r="J29" s="57"/>
    </row>
    <row r="30" spans="1:10" x14ac:dyDescent="0.3">
      <c r="A30" s="51">
        <v>29</v>
      </c>
      <c r="B30" s="52">
        <v>5.2</v>
      </c>
      <c r="C30" s="53">
        <v>3.4</v>
      </c>
      <c r="D30" s="53">
        <v>1.4</v>
      </c>
      <c r="E30" s="53">
        <v>0.2</v>
      </c>
      <c r="F30" s="54" t="s">
        <v>100</v>
      </c>
      <c r="G30" s="55"/>
      <c r="H30" s="54"/>
      <c r="I30" s="56"/>
      <c r="J30" s="57"/>
    </row>
    <row r="31" spans="1:10" x14ac:dyDescent="0.3">
      <c r="A31" s="51">
        <v>30</v>
      </c>
      <c r="B31" s="52">
        <v>4.7</v>
      </c>
      <c r="C31" s="53">
        <v>3.2</v>
      </c>
      <c r="D31" s="53">
        <v>1.6</v>
      </c>
      <c r="E31" s="53">
        <v>0.2</v>
      </c>
      <c r="F31" s="54" t="s">
        <v>100</v>
      </c>
      <c r="G31" s="55"/>
      <c r="H31" s="54"/>
      <c r="I31" s="56"/>
      <c r="J31" s="57"/>
    </row>
    <row r="32" spans="1:10" x14ac:dyDescent="0.3">
      <c r="A32" s="51">
        <v>31</v>
      </c>
      <c r="B32" s="52">
        <v>4.8</v>
      </c>
      <c r="C32" s="53">
        <v>3.1</v>
      </c>
      <c r="D32" s="53">
        <v>1.6</v>
      </c>
      <c r="E32" s="53">
        <v>0.2</v>
      </c>
      <c r="F32" s="54" t="s">
        <v>100</v>
      </c>
      <c r="G32" s="55"/>
      <c r="H32" s="54"/>
      <c r="I32" s="56"/>
      <c r="J32" s="57"/>
    </row>
    <row r="33" spans="1:10" x14ac:dyDescent="0.3">
      <c r="A33" s="51">
        <v>32</v>
      </c>
      <c r="B33" s="52">
        <v>5.4</v>
      </c>
      <c r="C33" s="53">
        <v>3.4</v>
      </c>
      <c r="D33" s="53">
        <v>1.5</v>
      </c>
      <c r="E33" s="53">
        <v>0.4</v>
      </c>
      <c r="F33" s="54" t="s">
        <v>100</v>
      </c>
      <c r="G33" s="55"/>
      <c r="H33" s="54"/>
      <c r="I33" s="56"/>
      <c r="J33" s="57"/>
    </row>
    <row r="34" spans="1:10" x14ac:dyDescent="0.3">
      <c r="A34" s="51">
        <v>33</v>
      </c>
      <c r="B34" s="52">
        <v>5.2</v>
      </c>
      <c r="C34" s="53">
        <v>4.0999999999999996</v>
      </c>
      <c r="D34" s="53">
        <v>1.5</v>
      </c>
      <c r="E34" s="53">
        <v>0.1</v>
      </c>
      <c r="F34" s="54" t="s">
        <v>100</v>
      </c>
      <c r="G34" s="55"/>
      <c r="H34" s="54"/>
      <c r="I34" s="56"/>
      <c r="J34" s="57"/>
    </row>
    <row r="35" spans="1:10" x14ac:dyDescent="0.3">
      <c r="A35" s="51">
        <v>34</v>
      </c>
      <c r="B35" s="52">
        <v>5.5</v>
      </c>
      <c r="C35" s="53">
        <v>4.2</v>
      </c>
      <c r="D35" s="53">
        <v>1.4</v>
      </c>
      <c r="E35" s="53">
        <v>0.2</v>
      </c>
      <c r="F35" s="54" t="s">
        <v>100</v>
      </c>
      <c r="G35" s="55"/>
      <c r="H35" s="54"/>
      <c r="I35" s="56"/>
      <c r="J35" s="57"/>
    </row>
    <row r="36" spans="1:10" x14ac:dyDescent="0.3">
      <c r="A36" s="51">
        <v>35</v>
      </c>
      <c r="B36" s="52">
        <v>4.9000000000000004</v>
      </c>
      <c r="C36" s="53">
        <v>3.1</v>
      </c>
      <c r="D36" s="53">
        <v>1.5</v>
      </c>
      <c r="E36" s="53">
        <v>0.1</v>
      </c>
      <c r="F36" s="54" t="s">
        <v>100</v>
      </c>
      <c r="G36" s="55"/>
      <c r="H36" s="54"/>
      <c r="I36" s="56"/>
      <c r="J36" s="57"/>
    </row>
    <row r="37" spans="1:10" x14ac:dyDescent="0.3">
      <c r="A37" s="51">
        <v>36</v>
      </c>
      <c r="B37" s="52">
        <v>5</v>
      </c>
      <c r="C37" s="53">
        <v>3.2</v>
      </c>
      <c r="D37" s="53">
        <v>1.2</v>
      </c>
      <c r="E37" s="53">
        <v>0.2</v>
      </c>
      <c r="F37" s="54" t="s">
        <v>100</v>
      </c>
      <c r="G37" s="55"/>
      <c r="H37" s="54"/>
      <c r="I37" s="56"/>
      <c r="J37" s="57"/>
    </row>
    <row r="38" spans="1:10" x14ac:dyDescent="0.3">
      <c r="A38" s="51">
        <v>37</v>
      </c>
      <c r="B38" s="52">
        <v>5.5</v>
      </c>
      <c r="C38" s="53">
        <v>3.5</v>
      </c>
      <c r="D38" s="53">
        <v>1.3</v>
      </c>
      <c r="E38" s="53">
        <v>0.2</v>
      </c>
      <c r="F38" s="54" t="s">
        <v>100</v>
      </c>
      <c r="G38" s="55"/>
      <c r="H38" s="54"/>
      <c r="I38" s="56"/>
      <c r="J38" s="57"/>
    </row>
    <row r="39" spans="1:10" x14ac:dyDescent="0.3">
      <c r="A39" s="51">
        <v>38</v>
      </c>
      <c r="B39" s="52">
        <v>4.9000000000000004</v>
      </c>
      <c r="C39" s="53">
        <v>3.1</v>
      </c>
      <c r="D39" s="53">
        <v>1.5</v>
      </c>
      <c r="E39" s="53">
        <v>0.1</v>
      </c>
      <c r="F39" s="54" t="s">
        <v>100</v>
      </c>
      <c r="G39" s="55"/>
      <c r="H39" s="54"/>
      <c r="I39" s="56"/>
      <c r="J39" s="57"/>
    </row>
    <row r="40" spans="1:10" x14ac:dyDescent="0.3">
      <c r="A40" s="51">
        <v>39</v>
      </c>
      <c r="B40" s="52">
        <v>4.4000000000000004</v>
      </c>
      <c r="C40" s="53">
        <v>3</v>
      </c>
      <c r="D40" s="53">
        <v>1.3</v>
      </c>
      <c r="E40" s="53">
        <v>0.2</v>
      </c>
      <c r="F40" s="54" t="s">
        <v>100</v>
      </c>
      <c r="G40" s="55"/>
      <c r="H40" s="54"/>
      <c r="I40" s="56"/>
      <c r="J40" s="57"/>
    </row>
    <row r="41" spans="1:10" x14ac:dyDescent="0.3">
      <c r="A41" s="51">
        <v>40</v>
      </c>
      <c r="B41" s="52">
        <v>5.0999999999999996</v>
      </c>
      <c r="C41" s="53">
        <v>3.4</v>
      </c>
      <c r="D41" s="53">
        <v>1.5</v>
      </c>
      <c r="E41" s="53">
        <v>0.2</v>
      </c>
      <c r="F41" s="54" t="s">
        <v>100</v>
      </c>
      <c r="G41" s="55"/>
      <c r="H41" s="54"/>
      <c r="I41" s="56"/>
      <c r="J41" s="57"/>
    </row>
    <row r="42" spans="1:10" x14ac:dyDescent="0.3">
      <c r="A42" s="51">
        <v>41</v>
      </c>
      <c r="B42" s="52">
        <v>5</v>
      </c>
      <c r="C42" s="53">
        <v>3.5</v>
      </c>
      <c r="D42" s="53">
        <v>1.3</v>
      </c>
      <c r="E42" s="53">
        <v>0.3</v>
      </c>
      <c r="F42" s="54" t="s">
        <v>100</v>
      </c>
      <c r="G42" s="55"/>
      <c r="H42" s="54"/>
      <c r="I42" s="56"/>
      <c r="J42" s="57"/>
    </row>
    <row r="43" spans="1:10" x14ac:dyDescent="0.3">
      <c r="A43" s="51">
        <v>42</v>
      </c>
      <c r="B43" s="52">
        <v>4.5</v>
      </c>
      <c r="C43" s="53">
        <v>2.2999999999999998</v>
      </c>
      <c r="D43" s="53">
        <v>1.3</v>
      </c>
      <c r="E43" s="53">
        <v>0.3</v>
      </c>
      <c r="F43" s="54" t="s">
        <v>100</v>
      </c>
      <c r="G43" s="55"/>
      <c r="H43" s="54"/>
      <c r="I43" s="56"/>
      <c r="J43" s="57"/>
    </row>
    <row r="44" spans="1:10" x14ac:dyDescent="0.3">
      <c r="A44" s="51">
        <v>43</v>
      </c>
      <c r="B44" s="52">
        <v>4.4000000000000004</v>
      </c>
      <c r="C44" s="53">
        <v>3.2</v>
      </c>
      <c r="D44" s="53">
        <v>1.3</v>
      </c>
      <c r="E44" s="53">
        <v>0.2</v>
      </c>
      <c r="F44" s="54" t="s">
        <v>100</v>
      </c>
      <c r="G44" s="55"/>
      <c r="H44" s="54"/>
      <c r="I44" s="56"/>
      <c r="J44" s="57"/>
    </row>
    <row r="45" spans="1:10" x14ac:dyDescent="0.3">
      <c r="A45" s="51">
        <v>44</v>
      </c>
      <c r="B45" s="52">
        <v>5</v>
      </c>
      <c r="C45" s="53">
        <v>3.5</v>
      </c>
      <c r="D45" s="53">
        <v>1.6</v>
      </c>
      <c r="E45" s="53">
        <v>0.6</v>
      </c>
      <c r="F45" s="54" t="s">
        <v>100</v>
      </c>
      <c r="G45" s="55"/>
      <c r="H45" s="54"/>
      <c r="I45" s="56"/>
      <c r="J45" s="57"/>
    </row>
    <row r="46" spans="1:10" x14ac:dyDescent="0.3">
      <c r="A46" s="51">
        <v>45</v>
      </c>
      <c r="B46" s="52">
        <v>5.0999999999999996</v>
      </c>
      <c r="C46" s="53">
        <v>3.8</v>
      </c>
      <c r="D46" s="53">
        <v>1.9</v>
      </c>
      <c r="E46" s="53">
        <v>0.4</v>
      </c>
      <c r="F46" s="54" t="s">
        <v>100</v>
      </c>
      <c r="G46" s="55"/>
      <c r="H46" s="54"/>
      <c r="I46" s="56"/>
      <c r="J46" s="57"/>
    </row>
    <row r="47" spans="1:10" x14ac:dyDescent="0.3">
      <c r="A47" s="51">
        <v>46</v>
      </c>
      <c r="B47" s="52">
        <v>4.8</v>
      </c>
      <c r="C47" s="53">
        <v>3</v>
      </c>
      <c r="D47" s="53">
        <v>1.4</v>
      </c>
      <c r="E47" s="53">
        <v>0.3</v>
      </c>
      <c r="F47" s="54" t="s">
        <v>100</v>
      </c>
      <c r="G47" s="55"/>
      <c r="H47" s="54"/>
      <c r="I47" s="56"/>
      <c r="J47" s="57"/>
    </row>
    <row r="48" spans="1:10" x14ac:dyDescent="0.3">
      <c r="A48" s="51">
        <v>47</v>
      </c>
      <c r="B48" s="52">
        <v>5.0999999999999996</v>
      </c>
      <c r="C48" s="53">
        <v>3.8</v>
      </c>
      <c r="D48" s="53">
        <v>1.6</v>
      </c>
      <c r="E48" s="53">
        <v>0.2</v>
      </c>
      <c r="F48" s="54" t="s">
        <v>100</v>
      </c>
      <c r="G48" s="55"/>
      <c r="H48" s="54"/>
      <c r="I48" s="56"/>
      <c r="J48" s="57"/>
    </row>
    <row r="49" spans="1:10" x14ac:dyDescent="0.3">
      <c r="A49" s="51">
        <v>48</v>
      </c>
      <c r="B49" s="52">
        <v>4.5999999999999996</v>
      </c>
      <c r="C49" s="53">
        <v>3.2</v>
      </c>
      <c r="D49" s="53">
        <v>1.4</v>
      </c>
      <c r="E49" s="53">
        <v>0.2</v>
      </c>
      <c r="F49" s="54" t="s">
        <v>100</v>
      </c>
      <c r="G49" s="55"/>
      <c r="H49" s="54"/>
      <c r="I49" s="56"/>
      <c r="J49" s="57"/>
    </row>
    <row r="50" spans="1:10" x14ac:dyDescent="0.3">
      <c r="A50" s="51">
        <v>49</v>
      </c>
      <c r="B50" s="52">
        <v>5.3</v>
      </c>
      <c r="C50" s="53">
        <v>3.7</v>
      </c>
      <c r="D50" s="53">
        <v>1.5</v>
      </c>
      <c r="E50" s="53">
        <v>0.2</v>
      </c>
      <c r="F50" s="54" t="s">
        <v>100</v>
      </c>
      <c r="G50" s="55"/>
      <c r="H50" s="54"/>
      <c r="I50" s="56"/>
      <c r="J50" s="57"/>
    </row>
    <row r="51" spans="1:10" x14ac:dyDescent="0.3">
      <c r="A51" s="51">
        <v>50</v>
      </c>
      <c r="B51" s="52">
        <v>5</v>
      </c>
      <c r="C51" s="53">
        <v>3.3</v>
      </c>
      <c r="D51" s="53">
        <v>1.4</v>
      </c>
      <c r="E51" s="53">
        <v>0.2</v>
      </c>
      <c r="F51" s="54" t="s">
        <v>100</v>
      </c>
      <c r="G51" s="55"/>
      <c r="H51" s="54"/>
      <c r="I51" s="56"/>
      <c r="J51" s="57"/>
    </row>
    <row r="52" spans="1:10" x14ac:dyDescent="0.3">
      <c r="A52" s="51">
        <v>51</v>
      </c>
      <c r="B52" s="52">
        <v>7</v>
      </c>
      <c r="C52" s="53">
        <v>3.2</v>
      </c>
      <c r="D52" s="53">
        <v>4.7</v>
      </c>
      <c r="E52" s="53">
        <v>1.4</v>
      </c>
      <c r="F52" s="54" t="s">
        <v>104</v>
      </c>
      <c r="G52" s="55"/>
      <c r="H52" s="54"/>
      <c r="I52" s="56"/>
      <c r="J52" s="57"/>
    </row>
    <row r="53" spans="1:10" x14ac:dyDescent="0.3">
      <c r="A53" s="51">
        <v>52</v>
      </c>
      <c r="B53" s="52">
        <v>6.4</v>
      </c>
      <c r="C53" s="53">
        <v>3.2</v>
      </c>
      <c r="D53" s="53">
        <v>4.5</v>
      </c>
      <c r="E53" s="53">
        <v>1.5</v>
      </c>
      <c r="F53" s="54" t="s">
        <v>104</v>
      </c>
      <c r="G53" s="55"/>
      <c r="H53" s="54"/>
      <c r="I53" s="56"/>
      <c r="J53" s="57"/>
    </row>
    <row r="54" spans="1:10" x14ac:dyDescent="0.3">
      <c r="A54" s="51">
        <v>53</v>
      </c>
      <c r="B54" s="52">
        <v>6.9</v>
      </c>
      <c r="C54" s="53">
        <v>3.1</v>
      </c>
      <c r="D54" s="53">
        <v>4.9000000000000004</v>
      </c>
      <c r="E54" s="53">
        <v>1.5</v>
      </c>
      <c r="F54" s="54" t="s">
        <v>104</v>
      </c>
      <c r="G54" s="55"/>
      <c r="H54" s="54"/>
      <c r="I54" s="56"/>
      <c r="J54" s="57"/>
    </row>
    <row r="55" spans="1:10" x14ac:dyDescent="0.3">
      <c r="A55" s="51">
        <v>54</v>
      </c>
      <c r="B55" s="52">
        <v>5.5</v>
      </c>
      <c r="C55" s="53">
        <v>2.2999999999999998</v>
      </c>
      <c r="D55" s="53">
        <v>4</v>
      </c>
      <c r="E55" s="53">
        <v>1.3</v>
      </c>
      <c r="F55" s="54" t="s">
        <v>104</v>
      </c>
      <c r="G55" s="55"/>
      <c r="H55" s="54"/>
      <c r="I55" s="56"/>
      <c r="J55" s="57"/>
    </row>
    <row r="56" spans="1:10" x14ac:dyDescent="0.3">
      <c r="A56" s="51">
        <v>55</v>
      </c>
      <c r="B56" s="52">
        <v>6.5</v>
      </c>
      <c r="C56" s="53">
        <v>2.8</v>
      </c>
      <c r="D56" s="53">
        <v>4.5999999999999996</v>
      </c>
      <c r="E56" s="53">
        <v>1.5</v>
      </c>
      <c r="F56" s="54" t="s">
        <v>104</v>
      </c>
      <c r="G56" s="55"/>
      <c r="H56" s="54"/>
      <c r="I56" s="56"/>
      <c r="J56" s="57"/>
    </row>
    <row r="57" spans="1:10" x14ac:dyDescent="0.3">
      <c r="A57" s="51">
        <v>56</v>
      </c>
      <c r="B57" s="52">
        <v>5.7</v>
      </c>
      <c r="C57" s="53">
        <v>2.8</v>
      </c>
      <c r="D57" s="53">
        <v>4.5</v>
      </c>
      <c r="E57" s="53">
        <v>1.3</v>
      </c>
      <c r="F57" s="54" t="s">
        <v>104</v>
      </c>
      <c r="G57" s="55"/>
      <c r="H57" s="54"/>
      <c r="I57" s="56"/>
      <c r="J57" s="57"/>
    </row>
    <row r="58" spans="1:10" x14ac:dyDescent="0.3">
      <c r="A58" s="51">
        <v>57</v>
      </c>
      <c r="B58" s="52">
        <v>6.3</v>
      </c>
      <c r="C58" s="53">
        <v>3.3</v>
      </c>
      <c r="D58" s="53">
        <v>4.7</v>
      </c>
      <c r="E58" s="53">
        <v>1.6</v>
      </c>
      <c r="F58" s="54" t="s">
        <v>104</v>
      </c>
      <c r="G58" s="55"/>
      <c r="H58" s="54"/>
      <c r="I58" s="56"/>
      <c r="J58" s="57"/>
    </row>
    <row r="59" spans="1:10" x14ac:dyDescent="0.3">
      <c r="A59" s="51">
        <v>58</v>
      </c>
      <c r="B59" s="52">
        <v>4.9000000000000004</v>
      </c>
      <c r="C59" s="53">
        <v>2.4</v>
      </c>
      <c r="D59" s="53">
        <v>3.3</v>
      </c>
      <c r="E59" s="53">
        <v>1</v>
      </c>
      <c r="F59" s="54" t="s">
        <v>104</v>
      </c>
      <c r="G59" s="55"/>
      <c r="H59" s="54"/>
      <c r="I59" s="56"/>
      <c r="J59" s="57"/>
    </row>
    <row r="60" spans="1:10" x14ac:dyDescent="0.3">
      <c r="A60" s="51">
        <v>59</v>
      </c>
      <c r="B60" s="52">
        <v>6.6</v>
      </c>
      <c r="C60" s="53">
        <v>2.9</v>
      </c>
      <c r="D60" s="53">
        <v>4.5999999999999996</v>
      </c>
      <c r="E60" s="53">
        <v>1.3</v>
      </c>
      <c r="F60" s="54" t="s">
        <v>104</v>
      </c>
      <c r="G60" s="55"/>
      <c r="H60" s="54"/>
      <c r="I60" s="56"/>
      <c r="J60" s="57"/>
    </row>
    <row r="61" spans="1:10" x14ac:dyDescent="0.3">
      <c r="A61" s="51">
        <v>60</v>
      </c>
      <c r="B61" s="52">
        <v>5.2</v>
      </c>
      <c r="C61" s="53">
        <v>2.7</v>
      </c>
      <c r="D61" s="53">
        <v>3.9</v>
      </c>
      <c r="E61" s="53">
        <v>1.4</v>
      </c>
      <c r="F61" s="54" t="s">
        <v>104</v>
      </c>
      <c r="G61" s="55"/>
      <c r="H61" s="54"/>
      <c r="I61" s="56"/>
      <c r="J61" s="57"/>
    </row>
    <row r="62" spans="1:10" x14ac:dyDescent="0.3">
      <c r="A62" s="51">
        <v>61</v>
      </c>
      <c r="B62" s="52">
        <v>5</v>
      </c>
      <c r="C62" s="53">
        <v>2</v>
      </c>
      <c r="D62" s="53">
        <v>3.5</v>
      </c>
      <c r="E62" s="53">
        <v>1</v>
      </c>
      <c r="F62" s="54" t="s">
        <v>104</v>
      </c>
      <c r="G62" s="55"/>
      <c r="H62" s="54"/>
      <c r="I62" s="56"/>
      <c r="J62" s="57"/>
    </row>
    <row r="63" spans="1:10" x14ac:dyDescent="0.3">
      <c r="A63" s="51">
        <v>62</v>
      </c>
      <c r="B63" s="52">
        <v>5.9</v>
      </c>
      <c r="C63" s="53">
        <v>3</v>
      </c>
      <c r="D63" s="53">
        <v>4.2</v>
      </c>
      <c r="E63" s="53">
        <v>1.5</v>
      </c>
      <c r="F63" s="54" t="s">
        <v>104</v>
      </c>
      <c r="G63" s="55"/>
      <c r="H63" s="54"/>
      <c r="I63" s="56"/>
      <c r="J63" s="57"/>
    </row>
    <row r="64" spans="1:10" x14ac:dyDescent="0.3">
      <c r="A64" s="51">
        <v>63</v>
      </c>
      <c r="B64" s="52">
        <v>6</v>
      </c>
      <c r="C64" s="53">
        <v>2.2000000000000002</v>
      </c>
      <c r="D64" s="53">
        <v>4</v>
      </c>
      <c r="E64" s="53">
        <v>1</v>
      </c>
      <c r="F64" s="54" t="s">
        <v>104</v>
      </c>
      <c r="G64" s="55"/>
      <c r="H64" s="54"/>
      <c r="I64" s="56"/>
      <c r="J64" s="57"/>
    </row>
    <row r="65" spans="1:10" x14ac:dyDescent="0.3">
      <c r="A65" s="51">
        <v>64</v>
      </c>
      <c r="B65" s="52">
        <v>6.1</v>
      </c>
      <c r="C65" s="53">
        <v>2.9</v>
      </c>
      <c r="D65" s="53">
        <v>4.7</v>
      </c>
      <c r="E65" s="53">
        <v>1.4</v>
      </c>
      <c r="F65" s="54" t="s">
        <v>104</v>
      </c>
      <c r="G65" s="55"/>
      <c r="H65" s="54"/>
      <c r="I65" s="56"/>
      <c r="J65" s="57"/>
    </row>
    <row r="66" spans="1:10" x14ac:dyDescent="0.3">
      <c r="A66" s="51">
        <v>65</v>
      </c>
      <c r="B66" s="52">
        <v>5.6</v>
      </c>
      <c r="C66" s="53">
        <v>2.9</v>
      </c>
      <c r="D66" s="53">
        <v>3.6</v>
      </c>
      <c r="E66" s="53">
        <v>1.3</v>
      </c>
      <c r="F66" s="54" t="s">
        <v>104</v>
      </c>
      <c r="G66" s="55"/>
      <c r="H66" s="54"/>
      <c r="I66" s="56"/>
      <c r="J66" s="57"/>
    </row>
    <row r="67" spans="1:10" x14ac:dyDescent="0.3">
      <c r="A67" s="51">
        <v>66</v>
      </c>
      <c r="B67" s="52">
        <v>6.7</v>
      </c>
      <c r="C67" s="53">
        <v>3.1</v>
      </c>
      <c r="D67" s="53">
        <v>4.4000000000000004</v>
      </c>
      <c r="E67" s="53">
        <v>1.4</v>
      </c>
      <c r="F67" s="54" t="s">
        <v>104</v>
      </c>
      <c r="G67" s="55"/>
      <c r="H67" s="54"/>
      <c r="I67" s="56"/>
      <c r="J67" s="57"/>
    </row>
    <row r="68" spans="1:10" x14ac:dyDescent="0.3">
      <c r="A68" s="51">
        <v>67</v>
      </c>
      <c r="B68" s="52">
        <v>5.6</v>
      </c>
      <c r="C68" s="53">
        <v>3</v>
      </c>
      <c r="D68" s="53">
        <v>4.5</v>
      </c>
      <c r="E68" s="53">
        <v>1.5</v>
      </c>
      <c r="F68" s="54" t="s">
        <v>104</v>
      </c>
      <c r="G68" s="55"/>
      <c r="H68" s="54"/>
      <c r="I68" s="56"/>
      <c r="J68" s="57"/>
    </row>
    <row r="69" spans="1:10" x14ac:dyDescent="0.3">
      <c r="A69" s="51">
        <v>68</v>
      </c>
      <c r="B69" s="52">
        <v>5.8</v>
      </c>
      <c r="C69" s="53">
        <v>2.7</v>
      </c>
      <c r="D69" s="53">
        <v>4.0999999999999996</v>
      </c>
      <c r="E69" s="53">
        <v>1</v>
      </c>
      <c r="F69" s="54" t="s">
        <v>104</v>
      </c>
      <c r="G69" s="55"/>
      <c r="H69" s="54"/>
      <c r="I69" s="56"/>
      <c r="J69" s="57"/>
    </row>
    <row r="70" spans="1:10" x14ac:dyDescent="0.3">
      <c r="A70" s="51">
        <v>69</v>
      </c>
      <c r="B70" s="52">
        <v>6.2</v>
      </c>
      <c r="C70" s="53">
        <v>2.2000000000000002</v>
      </c>
      <c r="D70" s="53">
        <v>4.5</v>
      </c>
      <c r="E70" s="53">
        <v>1.5</v>
      </c>
      <c r="F70" s="54" t="s">
        <v>104</v>
      </c>
      <c r="G70" s="55"/>
      <c r="H70" s="54"/>
      <c r="I70" s="56"/>
      <c r="J70" s="57"/>
    </row>
    <row r="71" spans="1:10" x14ac:dyDescent="0.3">
      <c r="A71" s="51">
        <v>70</v>
      </c>
      <c r="B71" s="52">
        <v>5.6</v>
      </c>
      <c r="C71" s="53">
        <v>2.5</v>
      </c>
      <c r="D71" s="53">
        <v>3.9</v>
      </c>
      <c r="E71" s="53">
        <v>1.1000000000000001</v>
      </c>
      <c r="F71" s="54" t="s">
        <v>104</v>
      </c>
      <c r="G71" s="55"/>
      <c r="H71" s="54"/>
      <c r="I71" s="56"/>
      <c r="J71" s="57"/>
    </row>
    <row r="72" spans="1:10" x14ac:dyDescent="0.3">
      <c r="A72" s="51">
        <v>71</v>
      </c>
      <c r="B72" s="52">
        <v>5.9</v>
      </c>
      <c r="C72" s="53">
        <v>3.2</v>
      </c>
      <c r="D72" s="53">
        <v>4.8</v>
      </c>
      <c r="E72" s="53">
        <v>1.8</v>
      </c>
      <c r="F72" s="54" t="s">
        <v>104</v>
      </c>
      <c r="G72" s="55"/>
      <c r="H72" s="54"/>
      <c r="I72" s="56"/>
      <c r="J72" s="57"/>
    </row>
    <row r="73" spans="1:10" x14ac:dyDescent="0.3">
      <c r="A73" s="51">
        <v>72</v>
      </c>
      <c r="B73" s="52">
        <v>6.1</v>
      </c>
      <c r="C73" s="53">
        <v>2.8</v>
      </c>
      <c r="D73" s="53">
        <v>4</v>
      </c>
      <c r="E73" s="53">
        <v>1.3</v>
      </c>
      <c r="F73" s="54" t="s">
        <v>104</v>
      </c>
      <c r="G73" s="55"/>
      <c r="H73" s="54"/>
      <c r="I73" s="56"/>
      <c r="J73" s="57"/>
    </row>
    <row r="74" spans="1:10" x14ac:dyDescent="0.3">
      <c r="A74" s="51">
        <v>73</v>
      </c>
      <c r="B74" s="52">
        <v>6.3</v>
      </c>
      <c r="C74" s="53">
        <v>2.5</v>
      </c>
      <c r="D74" s="53">
        <v>4.9000000000000004</v>
      </c>
      <c r="E74" s="53">
        <v>1.5</v>
      </c>
      <c r="F74" s="54" t="s">
        <v>104</v>
      </c>
      <c r="G74" s="55"/>
      <c r="H74" s="54"/>
      <c r="I74" s="56"/>
      <c r="J74" s="57"/>
    </row>
    <row r="75" spans="1:10" x14ac:dyDescent="0.3">
      <c r="A75" s="51">
        <v>74</v>
      </c>
      <c r="B75" s="52">
        <v>6.1</v>
      </c>
      <c r="C75" s="53">
        <v>2.8</v>
      </c>
      <c r="D75" s="53">
        <v>4.7</v>
      </c>
      <c r="E75" s="53">
        <v>1.2</v>
      </c>
      <c r="F75" s="54" t="s">
        <v>104</v>
      </c>
      <c r="G75" s="55"/>
      <c r="H75" s="54"/>
      <c r="I75" s="56"/>
      <c r="J75" s="57"/>
    </row>
    <row r="76" spans="1:10" x14ac:dyDescent="0.3">
      <c r="A76" s="51">
        <v>75</v>
      </c>
      <c r="B76" s="52">
        <v>6.4</v>
      </c>
      <c r="C76" s="53">
        <v>2.9</v>
      </c>
      <c r="D76" s="53">
        <v>4.3</v>
      </c>
      <c r="E76" s="53">
        <v>1.3</v>
      </c>
      <c r="F76" s="54" t="s">
        <v>104</v>
      </c>
      <c r="G76" s="55"/>
      <c r="H76" s="54"/>
      <c r="I76" s="56"/>
      <c r="J76" s="57"/>
    </row>
    <row r="77" spans="1:10" x14ac:dyDescent="0.3">
      <c r="A77" s="51">
        <v>76</v>
      </c>
      <c r="B77" s="52">
        <v>6.6</v>
      </c>
      <c r="C77" s="53">
        <v>3</v>
      </c>
      <c r="D77" s="53">
        <v>4.4000000000000004</v>
      </c>
      <c r="E77" s="53">
        <v>1.4</v>
      </c>
      <c r="F77" s="54" t="s">
        <v>104</v>
      </c>
      <c r="G77" s="55"/>
      <c r="H77" s="54"/>
      <c r="I77" s="56"/>
      <c r="J77" s="57"/>
    </row>
    <row r="78" spans="1:10" x14ac:dyDescent="0.3">
      <c r="A78" s="51">
        <v>77</v>
      </c>
      <c r="B78" s="52">
        <v>6.8</v>
      </c>
      <c r="C78" s="53">
        <v>2.8</v>
      </c>
      <c r="D78" s="53">
        <v>4.8</v>
      </c>
      <c r="E78" s="53">
        <v>1.4</v>
      </c>
      <c r="F78" s="54" t="s">
        <v>104</v>
      </c>
      <c r="G78" s="55"/>
      <c r="H78" s="54"/>
      <c r="I78" s="56"/>
      <c r="J78" s="57"/>
    </row>
    <row r="79" spans="1:10" x14ac:dyDescent="0.3">
      <c r="A79" s="51">
        <v>78</v>
      </c>
      <c r="B79" s="52">
        <v>6.7</v>
      </c>
      <c r="C79" s="53">
        <v>3</v>
      </c>
      <c r="D79" s="53">
        <v>5</v>
      </c>
      <c r="E79" s="53">
        <v>1.7</v>
      </c>
      <c r="F79" s="54" t="s">
        <v>104</v>
      </c>
      <c r="G79" s="55"/>
      <c r="H79" s="54"/>
      <c r="I79" s="56"/>
      <c r="J79" s="57"/>
    </row>
    <row r="80" spans="1:10" x14ac:dyDescent="0.3">
      <c r="A80" s="51">
        <v>79</v>
      </c>
      <c r="B80" s="52">
        <v>6</v>
      </c>
      <c r="C80" s="53">
        <v>2.9</v>
      </c>
      <c r="D80" s="53">
        <v>4.5</v>
      </c>
      <c r="E80" s="53">
        <v>1.5</v>
      </c>
      <c r="F80" s="54" t="s">
        <v>104</v>
      </c>
      <c r="G80" s="55"/>
      <c r="H80" s="54"/>
      <c r="I80" s="56"/>
      <c r="J80" s="57"/>
    </row>
    <row r="81" spans="1:10" x14ac:dyDescent="0.3">
      <c r="A81" s="51">
        <v>80</v>
      </c>
      <c r="B81" s="52">
        <v>5.7</v>
      </c>
      <c r="C81" s="53">
        <v>2.6</v>
      </c>
      <c r="D81" s="53">
        <v>3.5</v>
      </c>
      <c r="E81" s="53">
        <v>1</v>
      </c>
      <c r="F81" s="54" t="s">
        <v>104</v>
      </c>
      <c r="G81" s="55"/>
      <c r="H81" s="54"/>
      <c r="I81" s="56"/>
      <c r="J81" s="57"/>
    </row>
    <row r="82" spans="1:10" x14ac:dyDescent="0.3">
      <c r="A82" s="51">
        <v>81</v>
      </c>
      <c r="B82" s="52">
        <v>5.5</v>
      </c>
      <c r="C82" s="53">
        <v>2.4</v>
      </c>
      <c r="D82" s="53">
        <v>3.8</v>
      </c>
      <c r="E82" s="53">
        <v>1.1000000000000001</v>
      </c>
      <c r="F82" s="54" t="s">
        <v>104</v>
      </c>
      <c r="G82" s="55"/>
      <c r="H82" s="54"/>
      <c r="I82" s="56"/>
      <c r="J82" s="57"/>
    </row>
    <row r="83" spans="1:10" x14ac:dyDescent="0.3">
      <c r="A83" s="51">
        <v>82</v>
      </c>
      <c r="B83" s="52">
        <v>5.5</v>
      </c>
      <c r="C83" s="53">
        <v>2.4</v>
      </c>
      <c r="D83" s="53">
        <v>3.7</v>
      </c>
      <c r="E83" s="53">
        <v>1</v>
      </c>
      <c r="F83" s="54" t="s">
        <v>104</v>
      </c>
      <c r="G83" s="55"/>
      <c r="H83" s="54"/>
      <c r="I83" s="56"/>
      <c r="J83" s="57"/>
    </row>
    <row r="84" spans="1:10" x14ac:dyDescent="0.3">
      <c r="A84" s="51">
        <v>83</v>
      </c>
      <c r="B84" s="52">
        <v>5.8</v>
      </c>
      <c r="C84" s="53">
        <v>2.7</v>
      </c>
      <c r="D84" s="53">
        <v>3.9</v>
      </c>
      <c r="E84" s="53">
        <v>1.2</v>
      </c>
      <c r="F84" s="54" t="s">
        <v>104</v>
      </c>
      <c r="G84" s="55"/>
      <c r="H84" s="54"/>
      <c r="I84" s="56"/>
      <c r="J84" s="57"/>
    </row>
    <row r="85" spans="1:10" x14ac:dyDescent="0.3">
      <c r="A85" s="51">
        <v>84</v>
      </c>
      <c r="B85" s="52">
        <v>6</v>
      </c>
      <c r="C85" s="53">
        <v>2.7</v>
      </c>
      <c r="D85" s="53">
        <v>5.0999999999999996</v>
      </c>
      <c r="E85" s="53">
        <v>1.6</v>
      </c>
      <c r="F85" s="54" t="s">
        <v>104</v>
      </c>
      <c r="G85" s="55"/>
      <c r="H85" s="54"/>
      <c r="I85" s="56"/>
      <c r="J85" s="57"/>
    </row>
    <row r="86" spans="1:10" x14ac:dyDescent="0.3">
      <c r="A86" s="51">
        <v>85</v>
      </c>
      <c r="B86" s="52">
        <v>5.4</v>
      </c>
      <c r="C86" s="53">
        <v>3</v>
      </c>
      <c r="D86" s="53">
        <v>4.5</v>
      </c>
      <c r="E86" s="53">
        <v>1.5</v>
      </c>
      <c r="F86" s="54" t="s">
        <v>104</v>
      </c>
      <c r="G86" s="55"/>
      <c r="H86" s="54"/>
      <c r="I86" s="56"/>
      <c r="J86" s="57"/>
    </row>
    <row r="87" spans="1:10" x14ac:dyDescent="0.3">
      <c r="A87" s="51">
        <v>86</v>
      </c>
      <c r="B87" s="52">
        <v>6</v>
      </c>
      <c r="C87" s="53">
        <v>3.4</v>
      </c>
      <c r="D87" s="53">
        <v>4.5</v>
      </c>
      <c r="E87" s="53">
        <v>1.6</v>
      </c>
      <c r="F87" s="54" t="s">
        <v>104</v>
      </c>
      <c r="G87" s="55"/>
      <c r="H87" s="54"/>
      <c r="I87" s="56"/>
      <c r="J87" s="57"/>
    </row>
    <row r="88" spans="1:10" x14ac:dyDescent="0.3">
      <c r="A88" s="51">
        <v>87</v>
      </c>
      <c r="B88" s="52">
        <v>6.7</v>
      </c>
      <c r="C88" s="53">
        <v>3.1</v>
      </c>
      <c r="D88" s="53">
        <v>4.7</v>
      </c>
      <c r="E88" s="53">
        <v>1.5</v>
      </c>
      <c r="F88" s="54" t="s">
        <v>104</v>
      </c>
      <c r="G88" s="55"/>
      <c r="H88" s="54"/>
      <c r="I88" s="56"/>
      <c r="J88" s="57"/>
    </row>
    <row r="89" spans="1:10" x14ac:dyDescent="0.3">
      <c r="A89" s="51">
        <v>88</v>
      </c>
      <c r="B89" s="52">
        <v>6.3</v>
      </c>
      <c r="C89" s="53">
        <v>2.2999999999999998</v>
      </c>
      <c r="D89" s="53">
        <v>4.4000000000000004</v>
      </c>
      <c r="E89" s="53">
        <v>1.3</v>
      </c>
      <c r="F89" s="54" t="s">
        <v>104</v>
      </c>
      <c r="G89" s="55"/>
      <c r="H89" s="54"/>
      <c r="I89" s="56"/>
      <c r="J89" s="57"/>
    </row>
    <row r="90" spans="1:10" x14ac:dyDescent="0.3">
      <c r="A90" s="51">
        <v>89</v>
      </c>
      <c r="B90" s="52">
        <v>5.6</v>
      </c>
      <c r="C90" s="53">
        <v>3</v>
      </c>
      <c r="D90" s="53">
        <v>4.0999999999999996</v>
      </c>
      <c r="E90" s="53">
        <v>1.3</v>
      </c>
      <c r="F90" s="54" t="s">
        <v>104</v>
      </c>
      <c r="G90" s="55"/>
      <c r="H90" s="54"/>
      <c r="I90" s="56"/>
      <c r="J90" s="57"/>
    </row>
    <row r="91" spans="1:10" x14ac:dyDescent="0.3">
      <c r="A91" s="51">
        <v>90</v>
      </c>
      <c r="B91" s="52">
        <v>5.5</v>
      </c>
      <c r="C91" s="53">
        <v>2.5</v>
      </c>
      <c r="D91" s="53">
        <v>4</v>
      </c>
      <c r="E91" s="53">
        <v>1.3</v>
      </c>
      <c r="F91" s="54" t="s">
        <v>104</v>
      </c>
      <c r="G91" s="55"/>
      <c r="H91" s="54"/>
      <c r="I91" s="56"/>
      <c r="J91" s="57"/>
    </row>
    <row r="92" spans="1:10" x14ac:dyDescent="0.3">
      <c r="A92" s="51">
        <v>91</v>
      </c>
      <c r="B92" s="52">
        <v>5.5</v>
      </c>
      <c r="C92" s="53">
        <v>2.6</v>
      </c>
      <c r="D92" s="53">
        <v>4.4000000000000004</v>
      </c>
      <c r="E92" s="53">
        <v>1.2</v>
      </c>
      <c r="F92" s="54" t="s">
        <v>104</v>
      </c>
      <c r="G92" s="55"/>
      <c r="H92" s="54"/>
      <c r="I92" s="56"/>
      <c r="J92" s="57"/>
    </row>
    <row r="93" spans="1:10" x14ac:dyDescent="0.3">
      <c r="A93" s="51">
        <v>92</v>
      </c>
      <c r="B93" s="52">
        <v>6.1</v>
      </c>
      <c r="C93" s="53">
        <v>3</v>
      </c>
      <c r="D93" s="53">
        <v>4.5999999999999996</v>
      </c>
      <c r="E93" s="53">
        <v>1.4</v>
      </c>
      <c r="F93" s="54" t="s">
        <v>104</v>
      </c>
      <c r="G93" s="55"/>
      <c r="H93" s="54"/>
      <c r="I93" s="56"/>
      <c r="J93" s="57"/>
    </row>
    <row r="94" spans="1:10" x14ac:dyDescent="0.3">
      <c r="A94" s="51">
        <v>93</v>
      </c>
      <c r="B94" s="52">
        <v>5.8</v>
      </c>
      <c r="C94" s="53">
        <v>2.6</v>
      </c>
      <c r="D94" s="53">
        <v>4</v>
      </c>
      <c r="E94" s="53">
        <v>1.2</v>
      </c>
      <c r="F94" s="54" t="s">
        <v>104</v>
      </c>
      <c r="G94" s="55"/>
      <c r="H94" s="54"/>
      <c r="I94" s="56"/>
      <c r="J94" s="57"/>
    </row>
    <row r="95" spans="1:10" x14ac:dyDescent="0.3">
      <c r="A95" s="51">
        <v>94</v>
      </c>
      <c r="B95" s="52">
        <v>5</v>
      </c>
      <c r="C95" s="53">
        <v>2.2999999999999998</v>
      </c>
      <c r="D95" s="53">
        <v>3.3</v>
      </c>
      <c r="E95" s="53">
        <v>1</v>
      </c>
      <c r="F95" s="54" t="s">
        <v>104</v>
      </c>
      <c r="G95" s="55"/>
      <c r="H95" s="54"/>
      <c r="I95" s="56"/>
      <c r="J95" s="57"/>
    </row>
    <row r="96" spans="1:10" x14ac:dyDescent="0.3">
      <c r="A96" s="51">
        <v>95</v>
      </c>
      <c r="B96" s="52">
        <v>5.6</v>
      </c>
      <c r="C96" s="53">
        <v>2.7</v>
      </c>
      <c r="D96" s="53">
        <v>4.2</v>
      </c>
      <c r="E96" s="53">
        <v>1.3</v>
      </c>
      <c r="F96" s="54" t="s">
        <v>104</v>
      </c>
      <c r="G96" s="55"/>
      <c r="H96" s="54"/>
      <c r="I96" s="56"/>
      <c r="J96" s="57"/>
    </row>
    <row r="97" spans="1:10" x14ac:dyDescent="0.3">
      <c r="A97" s="51">
        <v>96</v>
      </c>
      <c r="B97" s="52">
        <v>5.7</v>
      </c>
      <c r="C97" s="53">
        <v>3</v>
      </c>
      <c r="D97" s="53">
        <v>4.2</v>
      </c>
      <c r="E97" s="53">
        <v>1.2</v>
      </c>
      <c r="F97" s="54" t="s">
        <v>104</v>
      </c>
      <c r="G97" s="55"/>
      <c r="H97" s="54"/>
      <c r="I97" s="56"/>
      <c r="J97" s="57"/>
    </row>
    <row r="98" spans="1:10" x14ac:dyDescent="0.3">
      <c r="A98" s="51">
        <v>97</v>
      </c>
      <c r="B98" s="52">
        <v>5.7</v>
      </c>
      <c r="C98" s="53">
        <v>2.9</v>
      </c>
      <c r="D98" s="53">
        <v>4.2</v>
      </c>
      <c r="E98" s="53">
        <v>1.3</v>
      </c>
      <c r="F98" s="54" t="s">
        <v>104</v>
      </c>
      <c r="G98" s="55"/>
      <c r="H98" s="54"/>
      <c r="I98" s="56"/>
      <c r="J98" s="57"/>
    </row>
    <row r="99" spans="1:10" x14ac:dyDescent="0.3">
      <c r="A99" s="51">
        <v>98</v>
      </c>
      <c r="B99" s="52">
        <v>6.2</v>
      </c>
      <c r="C99" s="53">
        <v>2.9</v>
      </c>
      <c r="D99" s="53">
        <v>4.3</v>
      </c>
      <c r="E99" s="53">
        <v>1.3</v>
      </c>
      <c r="F99" s="54" t="s">
        <v>104</v>
      </c>
      <c r="G99" s="55"/>
      <c r="H99" s="54"/>
      <c r="I99" s="56"/>
      <c r="J99" s="57"/>
    </row>
    <row r="100" spans="1:10" x14ac:dyDescent="0.3">
      <c r="A100" s="51">
        <v>99</v>
      </c>
      <c r="B100" s="52">
        <v>5.0999999999999996</v>
      </c>
      <c r="C100" s="53">
        <v>2.5</v>
      </c>
      <c r="D100" s="53">
        <v>3</v>
      </c>
      <c r="E100" s="53">
        <v>1.1000000000000001</v>
      </c>
      <c r="F100" s="54" t="s">
        <v>104</v>
      </c>
      <c r="G100" s="55"/>
      <c r="H100" s="54"/>
      <c r="I100" s="56"/>
      <c r="J100" s="57"/>
    </row>
    <row r="101" spans="1:10" x14ac:dyDescent="0.3">
      <c r="A101" s="51">
        <v>100</v>
      </c>
      <c r="B101" s="52">
        <v>5.7</v>
      </c>
      <c r="C101" s="53">
        <v>2.8</v>
      </c>
      <c r="D101" s="53">
        <v>4.0999999999999996</v>
      </c>
      <c r="E101" s="53">
        <v>1.3</v>
      </c>
      <c r="F101" s="54" t="s">
        <v>104</v>
      </c>
      <c r="G101" s="55"/>
      <c r="H101" s="54"/>
      <c r="I101" s="56"/>
      <c r="J101" s="57"/>
    </row>
    <row r="102" spans="1:10" x14ac:dyDescent="0.3">
      <c r="A102" s="51">
        <v>101</v>
      </c>
      <c r="B102" s="52">
        <v>6.3</v>
      </c>
      <c r="C102" s="53">
        <v>3.3</v>
      </c>
      <c r="D102" s="53">
        <v>6</v>
      </c>
      <c r="E102" s="53">
        <v>2.5</v>
      </c>
      <c r="F102" s="54" t="s">
        <v>105</v>
      </c>
      <c r="G102" s="55"/>
      <c r="H102" s="54"/>
      <c r="I102" s="56"/>
      <c r="J102" s="57"/>
    </row>
    <row r="103" spans="1:10" x14ac:dyDescent="0.3">
      <c r="A103" s="51">
        <v>102</v>
      </c>
      <c r="B103" s="52">
        <v>5.8</v>
      </c>
      <c r="C103" s="53">
        <v>2.7</v>
      </c>
      <c r="D103" s="53">
        <v>5.0999999999999996</v>
      </c>
      <c r="E103" s="53">
        <v>1.9</v>
      </c>
      <c r="F103" s="54" t="s">
        <v>105</v>
      </c>
      <c r="G103" s="55"/>
      <c r="H103" s="54"/>
      <c r="I103" s="56"/>
      <c r="J103" s="57"/>
    </row>
    <row r="104" spans="1:10" x14ac:dyDescent="0.3">
      <c r="A104" s="51">
        <v>103</v>
      </c>
      <c r="B104" s="52">
        <v>7.1</v>
      </c>
      <c r="C104" s="53">
        <v>3</v>
      </c>
      <c r="D104" s="53">
        <v>5.9</v>
      </c>
      <c r="E104" s="53">
        <v>2.1</v>
      </c>
      <c r="F104" s="54" t="s">
        <v>105</v>
      </c>
      <c r="G104" s="55"/>
      <c r="H104" s="54"/>
      <c r="I104" s="56"/>
      <c r="J104" s="57"/>
    </row>
    <row r="105" spans="1:10" x14ac:dyDescent="0.3">
      <c r="A105" s="51">
        <v>104</v>
      </c>
      <c r="B105" s="52">
        <v>6.3</v>
      </c>
      <c r="C105" s="53">
        <v>2.9</v>
      </c>
      <c r="D105" s="53">
        <v>5.6</v>
      </c>
      <c r="E105" s="53">
        <v>1.8</v>
      </c>
      <c r="F105" s="54" t="s">
        <v>105</v>
      </c>
      <c r="G105" s="55"/>
      <c r="H105" s="54"/>
      <c r="I105" s="56"/>
      <c r="J105" s="57"/>
    </row>
    <row r="106" spans="1:10" x14ac:dyDescent="0.3">
      <c r="A106" s="51">
        <v>105</v>
      </c>
      <c r="B106" s="52">
        <v>6.5</v>
      </c>
      <c r="C106" s="53">
        <v>3</v>
      </c>
      <c r="D106" s="53">
        <v>5.8</v>
      </c>
      <c r="E106" s="53">
        <v>2.2000000000000002</v>
      </c>
      <c r="F106" s="54" t="s">
        <v>105</v>
      </c>
      <c r="G106" s="55"/>
      <c r="H106" s="54"/>
      <c r="I106" s="56"/>
      <c r="J106" s="57"/>
    </row>
    <row r="107" spans="1:10" x14ac:dyDescent="0.3">
      <c r="A107" s="51">
        <v>106</v>
      </c>
      <c r="B107" s="52">
        <v>7.6</v>
      </c>
      <c r="C107" s="53">
        <v>3</v>
      </c>
      <c r="D107" s="53">
        <v>6.6</v>
      </c>
      <c r="E107" s="53">
        <v>2.1</v>
      </c>
      <c r="F107" s="54" t="s">
        <v>105</v>
      </c>
      <c r="G107" s="55"/>
      <c r="H107" s="54"/>
      <c r="I107" s="56"/>
      <c r="J107" s="57"/>
    </row>
    <row r="108" spans="1:10" x14ac:dyDescent="0.3">
      <c r="A108" s="51">
        <v>107</v>
      </c>
      <c r="B108" s="52">
        <v>4.9000000000000004</v>
      </c>
      <c r="C108" s="53">
        <v>2.5</v>
      </c>
      <c r="D108" s="53">
        <v>4.5</v>
      </c>
      <c r="E108" s="53">
        <v>1.7</v>
      </c>
      <c r="F108" s="54" t="s">
        <v>105</v>
      </c>
      <c r="G108" s="55"/>
      <c r="H108" s="54"/>
      <c r="I108" s="56"/>
      <c r="J108" s="57"/>
    </row>
    <row r="109" spans="1:10" x14ac:dyDescent="0.3">
      <c r="A109" s="51">
        <v>108</v>
      </c>
      <c r="B109" s="52">
        <v>7.3</v>
      </c>
      <c r="C109" s="53">
        <v>2.9</v>
      </c>
      <c r="D109" s="53">
        <v>6.3</v>
      </c>
      <c r="E109" s="53">
        <v>1.8</v>
      </c>
      <c r="F109" s="54" t="s">
        <v>105</v>
      </c>
      <c r="G109" s="55"/>
      <c r="H109" s="54"/>
      <c r="I109" s="56"/>
      <c r="J109" s="57"/>
    </row>
    <row r="110" spans="1:10" x14ac:dyDescent="0.3">
      <c r="A110" s="51">
        <v>109</v>
      </c>
      <c r="B110" s="52">
        <v>6.7</v>
      </c>
      <c r="C110" s="53">
        <v>2.5</v>
      </c>
      <c r="D110" s="53">
        <v>5.8</v>
      </c>
      <c r="E110" s="53">
        <v>1.8</v>
      </c>
      <c r="F110" s="54" t="s">
        <v>105</v>
      </c>
      <c r="G110" s="55"/>
      <c r="H110" s="54"/>
      <c r="I110" s="56"/>
      <c r="J110" s="57"/>
    </row>
    <row r="111" spans="1:10" x14ac:dyDescent="0.3">
      <c r="A111" s="51">
        <v>110</v>
      </c>
      <c r="B111" s="52">
        <v>7.2</v>
      </c>
      <c r="C111" s="53">
        <v>3.6</v>
      </c>
      <c r="D111" s="53">
        <v>6.1</v>
      </c>
      <c r="E111" s="53">
        <v>2.5</v>
      </c>
      <c r="F111" s="54" t="s">
        <v>105</v>
      </c>
      <c r="G111" s="55"/>
      <c r="H111" s="54"/>
      <c r="I111" s="56"/>
      <c r="J111" s="57"/>
    </row>
    <row r="112" spans="1:10" x14ac:dyDescent="0.3">
      <c r="A112" s="51">
        <v>111</v>
      </c>
      <c r="B112" s="52">
        <v>6.5</v>
      </c>
      <c r="C112" s="53">
        <v>3.2</v>
      </c>
      <c r="D112" s="53">
        <v>5.0999999999999996</v>
      </c>
      <c r="E112" s="53">
        <v>2</v>
      </c>
      <c r="F112" s="54" t="s">
        <v>105</v>
      </c>
      <c r="G112" s="55"/>
      <c r="H112" s="54"/>
      <c r="I112" s="56"/>
      <c r="J112" s="57"/>
    </row>
    <row r="113" spans="1:10" x14ac:dyDescent="0.3">
      <c r="A113" s="51">
        <v>112</v>
      </c>
      <c r="B113" s="52">
        <v>6.4</v>
      </c>
      <c r="C113" s="53">
        <v>2.7</v>
      </c>
      <c r="D113" s="53">
        <v>5.3</v>
      </c>
      <c r="E113" s="53">
        <v>1.9</v>
      </c>
      <c r="F113" s="54" t="s">
        <v>105</v>
      </c>
      <c r="G113" s="55"/>
      <c r="H113" s="54"/>
      <c r="I113" s="56"/>
      <c r="J113" s="57"/>
    </row>
    <row r="114" spans="1:10" x14ac:dyDescent="0.3">
      <c r="A114" s="51">
        <v>113</v>
      </c>
      <c r="B114" s="52">
        <v>6.8</v>
      </c>
      <c r="C114" s="53">
        <v>3</v>
      </c>
      <c r="D114" s="53">
        <v>5.5</v>
      </c>
      <c r="E114" s="53">
        <v>2.1</v>
      </c>
      <c r="F114" s="54" t="s">
        <v>105</v>
      </c>
      <c r="G114" s="55"/>
      <c r="H114" s="54"/>
      <c r="I114" s="56"/>
      <c r="J114" s="57"/>
    </row>
    <row r="115" spans="1:10" x14ac:dyDescent="0.3">
      <c r="A115" s="51">
        <v>114</v>
      </c>
      <c r="B115" s="52">
        <v>5.7</v>
      </c>
      <c r="C115" s="53">
        <v>2.5</v>
      </c>
      <c r="D115" s="53">
        <v>5</v>
      </c>
      <c r="E115" s="53">
        <v>2</v>
      </c>
      <c r="F115" s="54" t="s">
        <v>105</v>
      </c>
      <c r="G115" s="55"/>
      <c r="H115" s="54"/>
      <c r="I115" s="56"/>
      <c r="J115" s="57"/>
    </row>
    <row r="116" spans="1:10" x14ac:dyDescent="0.3">
      <c r="A116" s="51">
        <v>115</v>
      </c>
      <c r="B116" s="52">
        <v>5.8</v>
      </c>
      <c r="C116" s="53">
        <v>2.8</v>
      </c>
      <c r="D116" s="53">
        <v>5.0999999999999996</v>
      </c>
      <c r="E116" s="53">
        <v>2.4</v>
      </c>
      <c r="F116" s="54" t="s">
        <v>105</v>
      </c>
      <c r="G116" s="55"/>
      <c r="H116" s="54"/>
      <c r="I116" s="56"/>
      <c r="J116" s="57"/>
    </row>
    <row r="117" spans="1:10" x14ac:dyDescent="0.3">
      <c r="A117" s="51">
        <v>116</v>
      </c>
      <c r="B117" s="52">
        <v>6.4</v>
      </c>
      <c r="C117" s="53">
        <v>3.2</v>
      </c>
      <c r="D117" s="53">
        <v>5.3</v>
      </c>
      <c r="E117" s="53">
        <v>2.2999999999999998</v>
      </c>
      <c r="F117" s="54" t="s">
        <v>105</v>
      </c>
      <c r="G117" s="55"/>
      <c r="H117" s="54"/>
      <c r="I117" s="56"/>
      <c r="J117" s="57"/>
    </row>
    <row r="118" spans="1:10" x14ac:dyDescent="0.3">
      <c r="A118" s="51">
        <v>117</v>
      </c>
      <c r="B118" s="52">
        <v>6.5</v>
      </c>
      <c r="C118" s="53">
        <v>3</v>
      </c>
      <c r="D118" s="53">
        <v>5.5</v>
      </c>
      <c r="E118" s="53">
        <v>1.8</v>
      </c>
      <c r="F118" s="54" t="s">
        <v>105</v>
      </c>
      <c r="G118" s="55"/>
      <c r="H118" s="54"/>
      <c r="I118" s="56"/>
      <c r="J118" s="57"/>
    </row>
    <row r="119" spans="1:10" x14ac:dyDescent="0.3">
      <c r="A119" s="51">
        <v>118</v>
      </c>
      <c r="B119" s="52">
        <v>7.7</v>
      </c>
      <c r="C119" s="53">
        <v>3.8</v>
      </c>
      <c r="D119" s="53">
        <v>6.7</v>
      </c>
      <c r="E119" s="53">
        <v>2.2000000000000002</v>
      </c>
      <c r="F119" s="54" t="s">
        <v>105</v>
      </c>
      <c r="G119" s="55"/>
      <c r="H119" s="54"/>
      <c r="I119" s="56"/>
      <c r="J119" s="57"/>
    </row>
    <row r="120" spans="1:10" x14ac:dyDescent="0.3">
      <c r="A120" s="51">
        <v>119</v>
      </c>
      <c r="B120" s="52">
        <v>7.7</v>
      </c>
      <c r="C120" s="53">
        <v>2.6</v>
      </c>
      <c r="D120" s="53">
        <v>6.9</v>
      </c>
      <c r="E120" s="53">
        <v>2.2999999999999998</v>
      </c>
      <c r="F120" s="54" t="s">
        <v>105</v>
      </c>
      <c r="G120" s="55"/>
      <c r="H120" s="54"/>
      <c r="I120" s="56"/>
      <c r="J120" s="57"/>
    </row>
    <row r="121" spans="1:10" x14ac:dyDescent="0.3">
      <c r="A121" s="51">
        <v>120</v>
      </c>
      <c r="B121" s="52">
        <v>6</v>
      </c>
      <c r="C121" s="53">
        <v>2.2000000000000002</v>
      </c>
      <c r="D121" s="53">
        <v>5</v>
      </c>
      <c r="E121" s="53">
        <v>1.5</v>
      </c>
      <c r="F121" s="54" t="s">
        <v>105</v>
      </c>
      <c r="G121" s="55"/>
      <c r="H121" s="54"/>
      <c r="I121" s="56"/>
      <c r="J121" s="57"/>
    </row>
    <row r="122" spans="1:10" x14ac:dyDescent="0.3">
      <c r="A122" s="51">
        <v>121</v>
      </c>
      <c r="B122" s="52">
        <v>6.9</v>
      </c>
      <c r="C122" s="53">
        <v>3.2</v>
      </c>
      <c r="D122" s="53">
        <v>5.7</v>
      </c>
      <c r="E122" s="53">
        <v>2.2999999999999998</v>
      </c>
      <c r="F122" s="54" t="s">
        <v>105</v>
      </c>
      <c r="G122" s="55"/>
      <c r="H122" s="54"/>
      <c r="I122" s="56"/>
      <c r="J122" s="57"/>
    </row>
    <row r="123" spans="1:10" x14ac:dyDescent="0.3">
      <c r="A123" s="51">
        <v>122</v>
      </c>
      <c r="B123" s="52">
        <v>5.6</v>
      </c>
      <c r="C123" s="53">
        <v>2.8</v>
      </c>
      <c r="D123" s="53">
        <v>4.9000000000000004</v>
      </c>
      <c r="E123" s="53">
        <v>2</v>
      </c>
      <c r="F123" s="54" t="s">
        <v>105</v>
      </c>
      <c r="G123" s="55"/>
      <c r="H123" s="54"/>
      <c r="I123" s="56"/>
      <c r="J123" s="57"/>
    </row>
    <row r="124" spans="1:10" x14ac:dyDescent="0.3">
      <c r="A124" s="51">
        <v>123</v>
      </c>
      <c r="B124" s="52">
        <v>7.7</v>
      </c>
      <c r="C124" s="53">
        <v>2.8</v>
      </c>
      <c r="D124" s="53">
        <v>6.7</v>
      </c>
      <c r="E124" s="53">
        <v>2</v>
      </c>
      <c r="F124" s="54" t="s">
        <v>105</v>
      </c>
      <c r="G124" s="55"/>
      <c r="H124" s="54"/>
      <c r="I124" s="56"/>
      <c r="J124" s="57"/>
    </row>
    <row r="125" spans="1:10" x14ac:dyDescent="0.3">
      <c r="A125" s="51">
        <v>124</v>
      </c>
      <c r="B125" s="52">
        <v>6.3</v>
      </c>
      <c r="C125" s="53">
        <v>2.7</v>
      </c>
      <c r="D125" s="53">
        <v>4.9000000000000004</v>
      </c>
      <c r="E125" s="53">
        <v>1.8</v>
      </c>
      <c r="F125" s="54" t="s">
        <v>105</v>
      </c>
      <c r="G125" s="55"/>
      <c r="H125" s="54"/>
      <c r="I125" s="56"/>
      <c r="J125" s="57"/>
    </row>
    <row r="126" spans="1:10" x14ac:dyDescent="0.3">
      <c r="A126" s="51">
        <v>125</v>
      </c>
      <c r="B126" s="52">
        <v>6.7</v>
      </c>
      <c r="C126" s="53">
        <v>3.3</v>
      </c>
      <c r="D126" s="53">
        <v>5.7</v>
      </c>
      <c r="E126" s="53">
        <v>2.1</v>
      </c>
      <c r="F126" s="54" t="s">
        <v>105</v>
      </c>
      <c r="G126" s="55"/>
      <c r="H126" s="54"/>
      <c r="I126" s="56"/>
      <c r="J126" s="57"/>
    </row>
    <row r="127" spans="1:10" x14ac:dyDescent="0.3">
      <c r="A127" s="51">
        <v>126</v>
      </c>
      <c r="B127" s="52">
        <v>7.2</v>
      </c>
      <c r="C127" s="53">
        <v>3.2</v>
      </c>
      <c r="D127" s="53">
        <v>6</v>
      </c>
      <c r="E127" s="53">
        <v>1.8</v>
      </c>
      <c r="F127" s="54" t="s">
        <v>105</v>
      </c>
      <c r="G127" s="55"/>
      <c r="H127" s="54"/>
      <c r="I127" s="56"/>
      <c r="J127" s="57"/>
    </row>
    <row r="128" spans="1:10" x14ac:dyDescent="0.3">
      <c r="A128" s="51">
        <v>127</v>
      </c>
      <c r="B128" s="52">
        <v>6.2</v>
      </c>
      <c r="C128" s="53">
        <v>2.8</v>
      </c>
      <c r="D128" s="53">
        <v>4.8</v>
      </c>
      <c r="E128" s="53">
        <v>1.8</v>
      </c>
      <c r="F128" s="54" t="s">
        <v>105</v>
      </c>
      <c r="G128" s="55"/>
      <c r="H128" s="54"/>
      <c r="I128" s="56"/>
      <c r="J128" s="57"/>
    </row>
    <row r="129" spans="1:10" x14ac:dyDescent="0.3">
      <c r="A129" s="51">
        <v>128</v>
      </c>
      <c r="B129" s="52">
        <v>6.1</v>
      </c>
      <c r="C129" s="53">
        <v>3</v>
      </c>
      <c r="D129" s="53">
        <v>4.9000000000000004</v>
      </c>
      <c r="E129" s="53">
        <v>1.8</v>
      </c>
      <c r="F129" s="54" t="s">
        <v>105</v>
      </c>
      <c r="G129" s="55"/>
      <c r="H129" s="54"/>
      <c r="I129" s="56"/>
      <c r="J129" s="57"/>
    </row>
    <row r="130" spans="1:10" x14ac:dyDescent="0.3">
      <c r="A130" s="51">
        <v>129</v>
      </c>
      <c r="B130" s="52">
        <v>6.4</v>
      </c>
      <c r="C130" s="53">
        <v>2.8</v>
      </c>
      <c r="D130" s="53">
        <v>5.6</v>
      </c>
      <c r="E130" s="53">
        <v>2.1</v>
      </c>
      <c r="F130" s="54" t="s">
        <v>105</v>
      </c>
      <c r="G130" s="55"/>
      <c r="H130" s="54"/>
      <c r="I130" s="56"/>
      <c r="J130" s="57"/>
    </row>
    <row r="131" spans="1:10" x14ac:dyDescent="0.3">
      <c r="A131" s="51">
        <v>130</v>
      </c>
      <c r="B131" s="52">
        <v>7.2</v>
      </c>
      <c r="C131" s="53">
        <v>3</v>
      </c>
      <c r="D131" s="53">
        <v>5.8</v>
      </c>
      <c r="E131" s="53">
        <v>1.6</v>
      </c>
      <c r="F131" s="54" t="s">
        <v>105</v>
      </c>
      <c r="G131" s="55"/>
      <c r="H131" s="54"/>
      <c r="I131" s="56"/>
      <c r="J131" s="57"/>
    </row>
    <row r="132" spans="1:10" x14ac:dyDescent="0.3">
      <c r="A132" s="51">
        <v>131</v>
      </c>
      <c r="B132" s="52">
        <v>7.4</v>
      </c>
      <c r="C132" s="53">
        <v>2.8</v>
      </c>
      <c r="D132" s="53">
        <v>6.1</v>
      </c>
      <c r="E132" s="53">
        <v>1.9</v>
      </c>
      <c r="F132" s="54" t="s">
        <v>105</v>
      </c>
      <c r="G132" s="55"/>
      <c r="H132" s="54"/>
      <c r="I132" s="56"/>
      <c r="J132" s="57"/>
    </row>
    <row r="133" spans="1:10" x14ac:dyDescent="0.3">
      <c r="A133" s="51">
        <v>132</v>
      </c>
      <c r="B133" s="52">
        <v>7.9</v>
      </c>
      <c r="C133" s="53">
        <v>3.8</v>
      </c>
      <c r="D133" s="53">
        <v>6.4</v>
      </c>
      <c r="E133" s="53">
        <v>2</v>
      </c>
      <c r="F133" s="54" t="s">
        <v>105</v>
      </c>
      <c r="G133" s="55"/>
      <c r="H133" s="54"/>
      <c r="I133" s="56"/>
      <c r="J133" s="57"/>
    </row>
    <row r="134" spans="1:10" x14ac:dyDescent="0.3">
      <c r="A134" s="51">
        <v>133</v>
      </c>
      <c r="B134" s="52">
        <v>6.4</v>
      </c>
      <c r="C134" s="53">
        <v>2.8</v>
      </c>
      <c r="D134" s="53">
        <v>5.6</v>
      </c>
      <c r="E134" s="53">
        <v>2.2000000000000002</v>
      </c>
      <c r="F134" s="54" t="s">
        <v>105</v>
      </c>
      <c r="G134" s="55"/>
      <c r="H134" s="54"/>
      <c r="I134" s="56"/>
      <c r="J134" s="57"/>
    </row>
    <row r="135" spans="1:10" x14ac:dyDescent="0.3">
      <c r="A135" s="51">
        <v>134</v>
      </c>
      <c r="B135" s="52">
        <v>6.3</v>
      </c>
      <c r="C135" s="53">
        <v>2.8</v>
      </c>
      <c r="D135" s="53">
        <v>5.0999999999999996</v>
      </c>
      <c r="E135" s="53">
        <v>1.5</v>
      </c>
      <c r="F135" s="54" t="s">
        <v>105</v>
      </c>
      <c r="G135" s="55"/>
      <c r="H135" s="54"/>
      <c r="I135" s="56"/>
      <c r="J135" s="57"/>
    </row>
    <row r="136" spans="1:10" x14ac:dyDescent="0.3">
      <c r="A136" s="51">
        <v>135</v>
      </c>
      <c r="B136" s="52">
        <v>6.1</v>
      </c>
      <c r="C136" s="53">
        <v>2.6</v>
      </c>
      <c r="D136" s="53">
        <v>5.6</v>
      </c>
      <c r="E136" s="53">
        <v>1.4</v>
      </c>
      <c r="F136" s="54" t="s">
        <v>105</v>
      </c>
      <c r="G136" s="55"/>
      <c r="H136" s="54"/>
      <c r="I136" s="56"/>
      <c r="J136" s="57"/>
    </row>
    <row r="137" spans="1:10" x14ac:dyDescent="0.3">
      <c r="A137" s="51">
        <v>136</v>
      </c>
      <c r="B137" s="52">
        <v>7.7</v>
      </c>
      <c r="C137" s="53">
        <v>3</v>
      </c>
      <c r="D137" s="53">
        <v>6.1</v>
      </c>
      <c r="E137" s="53">
        <v>2.2999999999999998</v>
      </c>
      <c r="F137" s="54" t="s">
        <v>105</v>
      </c>
      <c r="G137" s="55"/>
      <c r="H137" s="54"/>
      <c r="I137" s="56"/>
      <c r="J137" s="57"/>
    </row>
    <row r="138" spans="1:10" x14ac:dyDescent="0.3">
      <c r="A138" s="51">
        <v>137</v>
      </c>
      <c r="B138" s="52">
        <v>6.3</v>
      </c>
      <c r="C138" s="53">
        <v>3.4</v>
      </c>
      <c r="D138" s="53">
        <v>5.6</v>
      </c>
      <c r="E138" s="53">
        <v>2.4</v>
      </c>
      <c r="F138" s="54" t="s">
        <v>105</v>
      </c>
      <c r="G138" s="55"/>
      <c r="H138" s="54"/>
      <c r="I138" s="56"/>
      <c r="J138" s="57"/>
    </row>
    <row r="139" spans="1:10" x14ac:dyDescent="0.3">
      <c r="A139" s="51">
        <v>138</v>
      </c>
      <c r="B139" s="52">
        <v>6.4</v>
      </c>
      <c r="C139" s="53">
        <v>3.1</v>
      </c>
      <c r="D139" s="53">
        <v>5.5</v>
      </c>
      <c r="E139" s="53">
        <v>1.8</v>
      </c>
      <c r="F139" s="54" t="s">
        <v>105</v>
      </c>
      <c r="G139" s="55"/>
      <c r="H139" s="54"/>
      <c r="I139" s="56"/>
      <c r="J139" s="57"/>
    </row>
    <row r="140" spans="1:10" x14ac:dyDescent="0.3">
      <c r="A140" s="51">
        <v>139</v>
      </c>
      <c r="B140" s="52">
        <v>6</v>
      </c>
      <c r="C140" s="53">
        <v>3</v>
      </c>
      <c r="D140" s="53">
        <v>4.8</v>
      </c>
      <c r="E140" s="53">
        <v>1.8</v>
      </c>
      <c r="F140" s="54" t="s">
        <v>105</v>
      </c>
      <c r="G140" s="55"/>
      <c r="H140" s="54"/>
      <c r="I140" s="56"/>
      <c r="J140" s="57"/>
    </row>
    <row r="141" spans="1:10" x14ac:dyDescent="0.3">
      <c r="A141" s="51">
        <v>140</v>
      </c>
      <c r="B141" s="52">
        <v>6.9</v>
      </c>
      <c r="C141" s="53">
        <v>3.1</v>
      </c>
      <c r="D141" s="53">
        <v>5.4</v>
      </c>
      <c r="E141" s="53">
        <v>2.1</v>
      </c>
      <c r="F141" s="54" t="s">
        <v>105</v>
      </c>
      <c r="G141" s="55"/>
      <c r="H141" s="54"/>
      <c r="I141" s="56"/>
      <c r="J141" s="57"/>
    </row>
    <row r="142" spans="1:10" x14ac:dyDescent="0.3">
      <c r="A142" s="51">
        <v>141</v>
      </c>
      <c r="B142" s="52">
        <v>6.7</v>
      </c>
      <c r="C142" s="53">
        <v>3.1</v>
      </c>
      <c r="D142" s="53">
        <v>5.6</v>
      </c>
      <c r="E142" s="53">
        <v>2.4</v>
      </c>
      <c r="F142" s="54" t="s">
        <v>105</v>
      </c>
      <c r="G142" s="55"/>
      <c r="H142" s="54"/>
      <c r="I142" s="56"/>
      <c r="J142" s="57"/>
    </row>
    <row r="143" spans="1:10" x14ac:dyDescent="0.3">
      <c r="A143" s="51">
        <v>142</v>
      </c>
      <c r="B143" s="52">
        <v>6.9</v>
      </c>
      <c r="C143" s="53">
        <v>3.1</v>
      </c>
      <c r="D143" s="53">
        <v>5.0999999999999996</v>
      </c>
      <c r="E143" s="53">
        <v>2.2999999999999998</v>
      </c>
      <c r="F143" s="54" t="s">
        <v>105</v>
      </c>
      <c r="G143" s="55"/>
      <c r="H143" s="54"/>
      <c r="I143" s="56"/>
      <c r="J143" s="57"/>
    </row>
    <row r="144" spans="1:10" x14ac:dyDescent="0.3">
      <c r="A144" s="51">
        <v>143</v>
      </c>
      <c r="B144" s="52">
        <v>5.8</v>
      </c>
      <c r="C144" s="53">
        <v>2.7</v>
      </c>
      <c r="D144" s="53">
        <v>5.0999999999999996</v>
      </c>
      <c r="E144" s="53">
        <v>1.9</v>
      </c>
      <c r="F144" s="54" t="s">
        <v>105</v>
      </c>
      <c r="G144" s="55"/>
      <c r="H144" s="54"/>
      <c r="I144" s="56"/>
      <c r="J144" s="57"/>
    </row>
    <row r="145" spans="1:10" x14ac:dyDescent="0.3">
      <c r="A145" s="51">
        <v>144</v>
      </c>
      <c r="B145" s="52">
        <v>6.8</v>
      </c>
      <c r="C145" s="53">
        <v>3.2</v>
      </c>
      <c r="D145" s="53">
        <v>5.9</v>
      </c>
      <c r="E145" s="53">
        <v>2.2999999999999998</v>
      </c>
      <c r="F145" s="54" t="s">
        <v>105</v>
      </c>
      <c r="G145" s="55"/>
      <c r="H145" s="54"/>
      <c r="I145" s="56"/>
      <c r="J145" s="57"/>
    </row>
    <row r="146" spans="1:10" x14ac:dyDescent="0.3">
      <c r="A146" s="51">
        <v>145</v>
      </c>
      <c r="B146" s="52">
        <v>6.7</v>
      </c>
      <c r="C146" s="53">
        <v>3.3</v>
      </c>
      <c r="D146" s="53">
        <v>5.7</v>
      </c>
      <c r="E146" s="53">
        <v>2.5</v>
      </c>
      <c r="F146" s="54" t="s">
        <v>105</v>
      </c>
      <c r="G146" s="55"/>
      <c r="H146" s="54"/>
      <c r="I146" s="56"/>
      <c r="J146" s="57"/>
    </row>
    <row r="147" spans="1:10" x14ac:dyDescent="0.3">
      <c r="A147" s="51">
        <v>146</v>
      </c>
      <c r="B147" s="52">
        <v>6.7</v>
      </c>
      <c r="C147" s="53">
        <v>3</v>
      </c>
      <c r="D147" s="53">
        <v>5.2</v>
      </c>
      <c r="E147" s="53">
        <v>2.2999999999999998</v>
      </c>
      <c r="F147" s="54" t="s">
        <v>105</v>
      </c>
      <c r="G147" s="55"/>
      <c r="H147" s="54"/>
      <c r="I147" s="56"/>
      <c r="J147" s="57"/>
    </row>
    <row r="148" spans="1:10" x14ac:dyDescent="0.3">
      <c r="A148" s="51">
        <v>147</v>
      </c>
      <c r="B148" s="52">
        <v>6.3</v>
      </c>
      <c r="C148" s="53">
        <v>2.5</v>
      </c>
      <c r="D148" s="53">
        <v>5</v>
      </c>
      <c r="E148" s="53">
        <v>1.9</v>
      </c>
      <c r="F148" s="54" t="s">
        <v>105</v>
      </c>
      <c r="G148" s="55"/>
      <c r="H148" s="54"/>
      <c r="I148" s="56"/>
      <c r="J148" s="57"/>
    </row>
    <row r="149" spans="1:10" x14ac:dyDescent="0.3">
      <c r="A149" s="51">
        <v>148</v>
      </c>
      <c r="B149" s="52">
        <v>6.5</v>
      </c>
      <c r="C149" s="53">
        <v>3</v>
      </c>
      <c r="D149" s="53">
        <v>5.2</v>
      </c>
      <c r="E149" s="53">
        <v>2</v>
      </c>
      <c r="F149" s="54" t="s">
        <v>105</v>
      </c>
      <c r="G149" s="55"/>
      <c r="H149" s="54"/>
      <c r="I149" s="56"/>
      <c r="J149" s="57"/>
    </row>
    <row r="150" spans="1:10" x14ac:dyDescent="0.3">
      <c r="A150" s="51">
        <v>149</v>
      </c>
      <c r="B150" s="52">
        <v>6.2</v>
      </c>
      <c r="C150" s="53">
        <v>3.4</v>
      </c>
      <c r="D150" s="53">
        <v>5.4</v>
      </c>
      <c r="E150" s="53">
        <v>2.2999999999999998</v>
      </c>
      <c r="F150" s="54" t="s">
        <v>105</v>
      </c>
      <c r="G150" s="55"/>
      <c r="H150" s="54"/>
      <c r="I150" s="56"/>
      <c r="J150" s="57"/>
    </row>
    <row r="151" spans="1:10" x14ac:dyDescent="0.3">
      <c r="A151" s="67">
        <v>150</v>
      </c>
      <c r="B151" s="68">
        <v>5.9</v>
      </c>
      <c r="C151" s="69">
        <v>3</v>
      </c>
      <c r="D151" s="69">
        <v>5.0999999999999996</v>
      </c>
      <c r="E151" s="69">
        <v>1.8</v>
      </c>
      <c r="F151" s="70" t="s">
        <v>105</v>
      </c>
      <c r="G151" s="71"/>
      <c r="H151" s="70"/>
      <c r="I151" s="72"/>
      <c r="J151" s="73"/>
    </row>
  </sheetData>
  <mergeCells count="1">
    <mergeCell ref="L2:P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BB6A-F610-40F6-B78E-E28637709CBC}">
  <dimension ref="B1:M21"/>
  <sheetViews>
    <sheetView zoomScale="110" zoomScaleNormal="110" workbookViewId="0"/>
  </sheetViews>
  <sheetFormatPr defaultRowHeight="14.4" x14ac:dyDescent="0.3"/>
  <cols>
    <col min="1" max="5" width="8.88671875" style="3"/>
    <col min="6" max="6" width="9.6640625" style="3" customWidth="1"/>
    <col min="7" max="7" width="8.88671875" style="3"/>
    <col min="8" max="8" width="9.109375" style="3" customWidth="1"/>
    <col min="9" max="9" width="8.88671875" style="3"/>
    <col min="10" max="10" width="9.21875" style="3" customWidth="1"/>
    <col min="11" max="16384" width="8.88671875" style="3"/>
  </cols>
  <sheetData>
    <row r="1" spans="2:13" ht="15" thickBot="1" x14ac:dyDescent="0.35"/>
    <row r="2" spans="2:13" ht="15" thickBot="1" x14ac:dyDescent="0.35">
      <c r="E2" s="106" t="s">
        <v>109</v>
      </c>
      <c r="F2" s="107"/>
      <c r="H2" s="106" t="s">
        <v>109</v>
      </c>
      <c r="I2" s="107"/>
      <c r="K2" s="106" t="s">
        <v>109</v>
      </c>
      <c r="L2" s="107"/>
    </row>
    <row r="3" spans="2:13" ht="15" thickBot="1" x14ac:dyDescent="0.35">
      <c r="B3" s="108" t="s">
        <v>106</v>
      </c>
      <c r="C3" s="109" t="s">
        <v>110</v>
      </c>
      <c r="D3" s="110" t="s">
        <v>111</v>
      </c>
      <c r="E3" s="109" t="s">
        <v>112</v>
      </c>
      <c r="F3" s="110" t="s">
        <v>113</v>
      </c>
      <c r="G3" s="61" t="s">
        <v>114</v>
      </c>
      <c r="H3" s="109" t="s">
        <v>115</v>
      </c>
      <c r="I3" s="110" t="s">
        <v>116</v>
      </c>
      <c r="J3" s="61" t="s">
        <v>114</v>
      </c>
      <c r="K3" s="110" t="s">
        <v>117</v>
      </c>
      <c r="L3" s="110" t="s">
        <v>118</v>
      </c>
      <c r="M3" s="61" t="s">
        <v>114</v>
      </c>
    </row>
    <row r="4" spans="2:13" x14ac:dyDescent="0.3">
      <c r="B4" s="111">
        <v>1</v>
      </c>
      <c r="C4" s="112">
        <v>1</v>
      </c>
      <c r="D4" s="113">
        <v>1</v>
      </c>
      <c r="E4" s="114"/>
      <c r="F4" s="28"/>
      <c r="G4" s="115"/>
      <c r="H4" s="114"/>
      <c r="I4" s="28"/>
      <c r="J4" s="115"/>
      <c r="K4" s="114"/>
      <c r="L4" s="28"/>
      <c r="M4" s="115"/>
    </row>
    <row r="5" spans="2:13" x14ac:dyDescent="0.3">
      <c r="B5" s="111">
        <v>2</v>
      </c>
      <c r="C5" s="112">
        <v>1.5</v>
      </c>
      <c r="D5" s="113">
        <v>2</v>
      </c>
      <c r="E5" s="116"/>
      <c r="G5" s="117"/>
      <c r="H5" s="116"/>
      <c r="J5" s="117"/>
      <c r="K5" s="116"/>
      <c r="M5" s="117"/>
    </row>
    <row r="6" spans="2:13" x14ac:dyDescent="0.3">
      <c r="B6" s="111">
        <v>3</v>
      </c>
      <c r="C6" s="112">
        <v>3</v>
      </c>
      <c r="D6" s="113">
        <v>4</v>
      </c>
      <c r="E6" s="116"/>
      <c r="G6" s="117"/>
      <c r="H6" s="116"/>
      <c r="J6" s="117"/>
      <c r="K6" s="116"/>
      <c r="M6" s="117"/>
    </row>
    <row r="7" spans="2:13" x14ac:dyDescent="0.3">
      <c r="B7" s="111">
        <v>4</v>
      </c>
      <c r="C7" s="112">
        <v>5</v>
      </c>
      <c r="D7" s="113">
        <v>7</v>
      </c>
      <c r="E7" s="116"/>
      <c r="G7" s="117"/>
      <c r="H7" s="116"/>
      <c r="J7" s="117"/>
      <c r="K7" s="116"/>
      <c r="M7" s="117"/>
    </row>
    <row r="8" spans="2:13" x14ac:dyDescent="0.3">
      <c r="B8" s="111">
        <v>5</v>
      </c>
      <c r="C8" s="112">
        <v>3.5</v>
      </c>
      <c r="D8" s="113">
        <v>5</v>
      </c>
      <c r="E8" s="116"/>
      <c r="G8" s="117"/>
      <c r="H8" s="116"/>
      <c r="J8" s="117"/>
      <c r="K8" s="116"/>
      <c r="M8" s="117"/>
    </row>
    <row r="9" spans="2:13" x14ac:dyDescent="0.3">
      <c r="B9" s="111">
        <v>6</v>
      </c>
      <c r="C9" s="112">
        <v>4.5</v>
      </c>
      <c r="D9" s="113">
        <v>5</v>
      </c>
      <c r="E9" s="116"/>
      <c r="G9" s="117"/>
      <c r="H9" s="116"/>
      <c r="J9" s="117"/>
      <c r="K9" s="116"/>
      <c r="M9" s="117"/>
    </row>
    <row r="10" spans="2:13" ht="15" thickBot="1" x14ac:dyDescent="0.35">
      <c r="B10" s="118">
        <v>7</v>
      </c>
      <c r="C10" s="119">
        <v>3.5</v>
      </c>
      <c r="D10" s="120">
        <v>4.5</v>
      </c>
      <c r="E10" s="121"/>
      <c r="F10" s="31"/>
      <c r="G10" s="122"/>
      <c r="H10" s="121"/>
      <c r="I10" s="31"/>
      <c r="J10" s="122"/>
      <c r="K10" s="121"/>
      <c r="L10" s="31"/>
      <c r="M10" s="122"/>
    </row>
    <row r="11" spans="2:13" ht="15" thickBot="1" x14ac:dyDescent="0.35"/>
    <row r="12" spans="2:13" x14ac:dyDescent="0.3">
      <c r="B12" s="123" t="s">
        <v>119</v>
      </c>
      <c r="C12" s="124">
        <v>1</v>
      </c>
      <c r="D12" s="125">
        <v>1</v>
      </c>
    </row>
    <row r="13" spans="2:13" ht="15" thickBot="1" x14ac:dyDescent="0.35">
      <c r="B13" s="23" t="s">
        <v>120</v>
      </c>
      <c r="C13" s="119">
        <v>5</v>
      </c>
      <c r="D13" s="126">
        <v>7</v>
      </c>
    </row>
    <row r="14" spans="2:13" x14ac:dyDescent="0.3">
      <c r="B14" s="123" t="s">
        <v>121</v>
      </c>
      <c r="C14" s="124"/>
      <c r="D14" s="125"/>
    </row>
    <row r="15" spans="2:13" ht="15" thickBot="1" x14ac:dyDescent="0.35">
      <c r="B15" s="23" t="s">
        <v>122</v>
      </c>
      <c r="C15" s="119"/>
      <c r="D15" s="126"/>
    </row>
    <row r="16" spans="2:13" x14ac:dyDescent="0.3">
      <c r="B16" s="123" t="s">
        <v>123</v>
      </c>
      <c r="C16" s="112"/>
      <c r="D16" s="127"/>
    </row>
    <row r="17" spans="2:6" ht="15" thickBot="1" x14ac:dyDescent="0.35">
      <c r="B17" s="23" t="s">
        <v>124</v>
      </c>
      <c r="C17" s="119"/>
      <c r="D17" s="126"/>
    </row>
    <row r="19" spans="2:6" ht="15" thickBot="1" x14ac:dyDescent="0.35">
      <c r="B19" s="128" t="s">
        <v>125</v>
      </c>
      <c r="C19" s="128"/>
    </row>
    <row r="20" spans="2:6" ht="15" thickBot="1" x14ac:dyDescent="0.35">
      <c r="B20" s="129" t="s">
        <v>110</v>
      </c>
      <c r="C20" s="130" t="s">
        <v>111</v>
      </c>
      <c r="D20" s="129" t="s">
        <v>126</v>
      </c>
      <c r="E20" s="131" t="s">
        <v>127</v>
      </c>
      <c r="F20" s="130" t="s">
        <v>128</v>
      </c>
    </row>
    <row r="21" spans="2:6" ht="15" thickBot="1" x14ac:dyDescent="0.35">
      <c r="B21" s="132">
        <v>3</v>
      </c>
      <c r="C21" s="133">
        <v>3</v>
      </c>
      <c r="D21" s="133"/>
      <c r="E21" s="133"/>
      <c r="F21" s="134"/>
    </row>
  </sheetData>
  <mergeCells count="4">
    <mergeCell ref="E2:F2"/>
    <mergeCell ref="H2:I2"/>
    <mergeCell ref="K2:L2"/>
    <mergeCell ref="B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37B7-3808-43BF-857C-8541C0AA9AF3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Correlation and Regression</vt:lpstr>
      <vt:lpstr>Decision Tree</vt:lpstr>
      <vt:lpstr>K-NN</vt:lpstr>
      <vt:lpstr>K-NN (Iris)</vt:lpstr>
      <vt:lpstr>K-Means Clustering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2024-09-01T08:38:27Z</dcterms:created>
  <dcterms:modified xsi:type="dcterms:W3CDTF">2024-09-03T07:16:03Z</dcterms:modified>
</cp:coreProperties>
</file>