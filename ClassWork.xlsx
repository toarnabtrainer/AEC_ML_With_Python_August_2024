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b\AEC ML with Python Aug 2024\"/>
    </mc:Choice>
  </mc:AlternateContent>
  <xr:revisionPtr revIDLastSave="0" documentId="13_ncr:1_{1238CC15-9D16-4C86-A2EF-BB01FDCED5A8}" xr6:coauthVersionLast="47" xr6:coauthVersionMax="47" xr10:uidLastSave="{00000000-0000-0000-0000-000000000000}"/>
  <bookViews>
    <workbookView xWindow="-108" yWindow="-108" windowWidth="23256" windowHeight="12576" xr2:uid="{CC0A2C49-1E89-4FB2-8D30-94BE6106F6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5" i="1"/>
  <c r="F16" i="1"/>
  <c r="C20" i="1"/>
  <c r="C19" i="1"/>
  <c r="C18" i="1"/>
  <c r="C17" i="1"/>
  <c r="C16" i="1"/>
  <c r="C15" i="1"/>
  <c r="C14" i="1"/>
  <c r="C13" i="1"/>
  <c r="C11" i="1"/>
  <c r="D11" i="1"/>
  <c r="E11" i="1"/>
  <c r="F11" i="1"/>
  <c r="G11" i="1"/>
  <c r="G5" i="1"/>
  <c r="G6" i="1"/>
  <c r="G7" i="1"/>
  <c r="G8" i="1"/>
  <c r="G9" i="1"/>
  <c r="G10" i="1"/>
  <c r="G4" i="1"/>
  <c r="F5" i="1"/>
  <c r="F6" i="1"/>
  <c r="F7" i="1"/>
  <c r="F8" i="1"/>
  <c r="F9" i="1"/>
  <c r="F10" i="1"/>
  <c r="F4" i="1"/>
  <c r="E5" i="1"/>
  <c r="E6" i="1"/>
  <c r="E7" i="1"/>
  <c r="E8" i="1"/>
  <c r="E9" i="1"/>
  <c r="E10" i="1"/>
  <c r="E4" i="1"/>
</calcChain>
</file>

<file path=xl/sharedStrings.xml><?xml version="1.0" encoding="utf-8"?>
<sst xmlns="http://schemas.openxmlformats.org/spreadsheetml/2006/main" count="28" uniqueCount="23">
  <si>
    <t>Student</t>
  </si>
  <si>
    <t>x</t>
  </si>
  <si>
    <t>y</t>
  </si>
  <si>
    <t>A</t>
  </si>
  <si>
    <t>B</t>
  </si>
  <si>
    <t>C</t>
  </si>
  <si>
    <t>D</t>
  </si>
  <si>
    <t>E</t>
  </si>
  <si>
    <t>F</t>
  </si>
  <si>
    <t>G</t>
  </si>
  <si>
    <t>y^2</t>
  </si>
  <si>
    <t>x.y</t>
  </si>
  <si>
    <t>x^2</t>
  </si>
  <si>
    <t>n =</t>
  </si>
  <si>
    <t>r =</t>
  </si>
  <si>
    <t>a =</t>
  </si>
  <si>
    <t>b =</t>
  </si>
  <si>
    <t>y' = a + bx</t>
  </si>
  <si>
    <t>intercept</t>
  </si>
  <si>
    <t>slope</t>
  </si>
  <si>
    <t>r^2 =</t>
  </si>
  <si>
    <t>test x</t>
  </si>
  <si>
    <t>y'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</si>
</sst>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Attendance vs. Grade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2427252843394575"/>
                  <c:y val="-0.32024496937882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Sheet1!$D$4:$D$10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96-45E6-A1EC-4BE1ADB7409F}"/>
            </c:ext>
          </c:extLst>
        </c:ser>
        <c:ser>
          <c:idx val="1"/>
          <c:order val="1"/>
          <c:tx>
            <c:v>Test 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Sheet1!$E$14:$E$16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14</c:v>
                </c:pt>
              </c:numCache>
            </c:numRef>
          </c:xVal>
          <c:yVal>
            <c:numRef>
              <c:f>Sheet1!$F$14:$F$16</c:f>
              <c:numCache>
                <c:formatCode>General</c:formatCode>
                <c:ptCount val="3"/>
                <c:pt idx="0">
                  <c:v>66.273631840796014</c:v>
                </c:pt>
                <c:pt idx="1">
                  <c:v>62.651741293532332</c:v>
                </c:pt>
                <c:pt idx="2">
                  <c:v>51.786069651741286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96-45E6-A1EC-4BE1ADB74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198544"/>
        <c:axId val="638199024"/>
      </c:scatterChart>
      <c:valAx>
        <c:axId val="638198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199024"/>
        <c:crosses val="autoZero"/>
        <c:crossBetween val="midCat"/>
      </c:valAx>
      <c:valAx>
        <c:axId val="63819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198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15765</xdr:colOff>
      <xdr:row>1</xdr:row>
      <xdr:rowOff>26274</xdr:rowOff>
    </xdr:from>
    <xdr:to>
      <xdr:col>17</xdr:col>
      <xdr:colOff>70944</xdr:colOff>
      <xdr:row>18</xdr:row>
      <xdr:rowOff>157655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972979-E7B4-456B-2AB1-D7E11FFFAE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7222C-45F1-45C6-9B7F-6F9E0EFDD78B}">
  <dimension ref="A1:H20"/>
  <sheetViews>
    <sheetView tabSelected="1" zoomScale="145" zoomScaleNormal="145" workbookViewId="0">
      <selection activeCell="D18" sqref="D18"/>
    </sheetView>
  </sheetViews>
  <sheetFormatPr defaultRowHeight="13.8" x14ac:dyDescent="0.3"/>
  <sheetData>
    <row r="1" spans="1:8" x14ac:dyDescent="0.3">
      <c r="A1" t="s">
        <v>17</v>
      </c>
    </row>
    <row r="3" spans="1:8" x14ac:dyDescent="0.3">
      <c r="B3" s="2" t="s">
        <v>0</v>
      </c>
      <c r="C3" s="2" t="s">
        <v>1</v>
      </c>
      <c r="D3" s="2" t="s">
        <v>2</v>
      </c>
      <c r="E3" s="2" t="s">
        <v>11</v>
      </c>
      <c r="F3" s="2" t="s">
        <v>12</v>
      </c>
      <c r="G3" s="2" t="s">
        <v>10</v>
      </c>
      <c r="H3" s="2"/>
    </row>
    <row r="4" spans="1:8" x14ac:dyDescent="0.3">
      <c r="B4" s="1" t="s">
        <v>3</v>
      </c>
      <c r="C4">
        <v>6</v>
      </c>
      <c r="D4">
        <v>82</v>
      </c>
      <c r="E4">
        <f>C4*D4</f>
        <v>492</v>
      </c>
      <c r="F4">
        <f>C4^2</f>
        <v>36</v>
      </c>
      <c r="G4">
        <f>D4^2</f>
        <v>6724</v>
      </c>
    </row>
    <row r="5" spans="1:8" x14ac:dyDescent="0.3">
      <c r="B5" s="1" t="s">
        <v>4</v>
      </c>
      <c r="C5">
        <v>2</v>
      </c>
      <c r="D5">
        <v>86</v>
      </c>
      <c r="E5">
        <f t="shared" ref="E5:E10" si="0">C5*D5</f>
        <v>172</v>
      </c>
      <c r="F5">
        <f t="shared" ref="F5:F10" si="1">C5^2</f>
        <v>4</v>
      </c>
      <c r="G5">
        <f t="shared" ref="G5:G10" si="2">D5^2</f>
        <v>7396</v>
      </c>
    </row>
    <row r="6" spans="1:8" x14ac:dyDescent="0.3">
      <c r="B6" s="1" t="s">
        <v>5</v>
      </c>
      <c r="C6">
        <v>15</v>
      </c>
      <c r="D6">
        <v>43</v>
      </c>
      <c r="E6">
        <f t="shared" si="0"/>
        <v>645</v>
      </c>
      <c r="F6">
        <f t="shared" si="1"/>
        <v>225</v>
      </c>
      <c r="G6">
        <f t="shared" si="2"/>
        <v>1849</v>
      </c>
    </row>
    <row r="7" spans="1:8" x14ac:dyDescent="0.3">
      <c r="B7" s="1" t="s">
        <v>6</v>
      </c>
      <c r="C7">
        <v>9</v>
      </c>
      <c r="D7">
        <v>74</v>
      </c>
      <c r="E7">
        <f t="shared" si="0"/>
        <v>666</v>
      </c>
      <c r="F7">
        <f t="shared" si="1"/>
        <v>81</v>
      </c>
      <c r="G7">
        <f t="shared" si="2"/>
        <v>5476</v>
      </c>
    </row>
    <row r="8" spans="1:8" x14ac:dyDescent="0.3">
      <c r="B8" s="1" t="s">
        <v>7</v>
      </c>
      <c r="C8">
        <v>12</v>
      </c>
      <c r="D8">
        <v>58</v>
      </c>
      <c r="E8">
        <f t="shared" si="0"/>
        <v>696</v>
      </c>
      <c r="F8">
        <f t="shared" si="1"/>
        <v>144</v>
      </c>
      <c r="G8">
        <f t="shared" si="2"/>
        <v>3364</v>
      </c>
    </row>
    <row r="9" spans="1:8" x14ac:dyDescent="0.3">
      <c r="B9" s="1" t="s">
        <v>8</v>
      </c>
      <c r="C9">
        <v>5</v>
      </c>
      <c r="D9">
        <v>90</v>
      </c>
      <c r="E9">
        <f t="shared" si="0"/>
        <v>450</v>
      </c>
      <c r="F9">
        <f t="shared" si="1"/>
        <v>25</v>
      </c>
      <c r="G9">
        <f t="shared" si="2"/>
        <v>8100</v>
      </c>
    </row>
    <row r="10" spans="1:8" x14ac:dyDescent="0.3">
      <c r="B10" s="1" t="s">
        <v>9</v>
      </c>
      <c r="C10">
        <v>8</v>
      </c>
      <c r="D10">
        <v>78</v>
      </c>
      <c r="E10">
        <f t="shared" si="0"/>
        <v>624</v>
      </c>
      <c r="F10">
        <f t="shared" si="1"/>
        <v>64</v>
      </c>
      <c r="G10">
        <f t="shared" si="2"/>
        <v>6084</v>
      </c>
    </row>
    <row r="11" spans="1:8" x14ac:dyDescent="0.3">
      <c r="C11">
        <f t="shared" ref="C11:G11" si="3">SUM(C4:C10)</f>
        <v>57</v>
      </c>
      <c r="D11">
        <f t="shared" si="3"/>
        <v>511</v>
      </c>
      <c r="E11">
        <f t="shared" si="3"/>
        <v>3745</v>
      </c>
      <c r="F11">
        <f t="shared" si="3"/>
        <v>579</v>
      </c>
      <c r="G11">
        <f t="shared" si="3"/>
        <v>38993</v>
      </c>
    </row>
    <row r="13" spans="1:8" x14ac:dyDescent="0.3">
      <c r="B13" s="1" t="s">
        <v>13</v>
      </c>
      <c r="C13">
        <f>COUNTA(B4:B10)</f>
        <v>7</v>
      </c>
      <c r="E13" s="2" t="s">
        <v>21</v>
      </c>
      <c r="F13" s="2" t="s">
        <v>22</v>
      </c>
    </row>
    <row r="14" spans="1:8" x14ac:dyDescent="0.3">
      <c r="B14" s="1" t="s">
        <v>14</v>
      </c>
      <c r="C14">
        <f>(C13*E11-C11*D11)/SQRT((C13*F11-C11^2)*(C13*G11-D11^2))</f>
        <v>-0.94421517068791783</v>
      </c>
      <c r="E14">
        <v>10</v>
      </c>
      <c r="F14">
        <f>$C$18+$C$19*E14</f>
        <v>66.273631840796014</v>
      </c>
    </row>
    <row r="15" spans="1:8" x14ac:dyDescent="0.3">
      <c r="B15" s="1" t="s">
        <v>14</v>
      </c>
      <c r="C15">
        <f>CORREL(C4:C10,D4:D10)</f>
        <v>-0.94421517068791805</v>
      </c>
      <c r="E15">
        <v>11</v>
      </c>
      <c r="F15">
        <f t="shared" ref="F15:F16" si="4">$C$18+$C$19*E15</f>
        <v>62.651741293532332</v>
      </c>
    </row>
    <row r="16" spans="1:8" x14ac:dyDescent="0.3">
      <c r="A16" t="s">
        <v>18</v>
      </c>
      <c r="B16" s="1" t="s">
        <v>15</v>
      </c>
      <c r="C16">
        <f>(D11*F11-C11*E11)/(C13*F11-C11^2)</f>
        <v>102.49253731343283</v>
      </c>
      <c r="E16">
        <v>14</v>
      </c>
      <c r="F16">
        <f t="shared" si="4"/>
        <v>51.786069651741286</v>
      </c>
    </row>
    <row r="17" spans="1:3" x14ac:dyDescent="0.3">
      <c r="A17" t="s">
        <v>19</v>
      </c>
      <c r="B17" s="1" t="s">
        <v>16</v>
      </c>
      <c r="C17">
        <f>(C13*E11-C11*D11)/(C13*F11-C11^2)</f>
        <v>-3.6218905472636815</v>
      </c>
    </row>
    <row r="18" spans="1:3" x14ac:dyDescent="0.3">
      <c r="A18" t="s">
        <v>18</v>
      </c>
      <c r="B18" s="1" t="s">
        <v>15</v>
      </c>
      <c r="C18">
        <f>INTERCEPT(D4:D10,C4:C10)</f>
        <v>102.49253731343283</v>
      </c>
    </row>
    <row r="19" spans="1:3" x14ac:dyDescent="0.3">
      <c r="A19" t="s">
        <v>19</v>
      </c>
      <c r="B19" s="1" t="s">
        <v>16</v>
      </c>
      <c r="C19">
        <f>SLOPE(D4:D10,C4:C10)</f>
        <v>-3.621890547263682</v>
      </c>
    </row>
    <row r="20" spans="1:3" x14ac:dyDescent="0.3">
      <c r="B20" s="1" t="s">
        <v>20</v>
      </c>
      <c r="C20">
        <f>C14^2</f>
        <v>0.89154228855721385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2024-09-01T08:38:27Z</dcterms:created>
  <dcterms:modified xsi:type="dcterms:W3CDTF">2024-09-01T11:09:15Z</dcterms:modified>
</cp:coreProperties>
</file>